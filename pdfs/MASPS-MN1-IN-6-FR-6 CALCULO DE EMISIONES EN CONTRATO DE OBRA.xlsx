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rosoft Windows 81\Downloads\5 SOSTENIBILIDAD\5 SOSTENIBILIDAD\"/>
    </mc:Choice>
  </mc:AlternateContent>
  <bookViews>
    <workbookView xWindow="0" yWindow="0" windowWidth="20490" windowHeight="7650"/>
  </bookViews>
  <sheets>
    <sheet name="MASPS-MN1-IN-6-FR-6" sheetId="1" r:id="rId1"/>
    <sheet name="Factores De Emisión" sheetId="3" r:id="rId2"/>
    <sheet name="Listas" sheetId="2" r:id="rId3"/>
  </sheets>
  <definedNames>
    <definedName name="acidossulf">'Factores De Emisión'!$K$2:$K$22</definedName>
    <definedName name="_xlnm.Print_Area" localSheetId="0">'MASPS-MN1-IN-6-FR-6'!$A$1:$S$130</definedName>
    <definedName name="categoria">'Factores De Emisión'!$C$2:$C$22</definedName>
    <definedName name="cateogria">'Factores De Emisión'!$C$2:$C$22</definedName>
    <definedName name="co">'Factores De Emisión'!$E$2:$E$22</definedName>
    <definedName name="codos">'Factores De Emisión'!$I$2:$I$22</definedName>
    <definedName name="combustible">'Factores De Emisión'!$D$2:$D$22</definedName>
    <definedName name="cot">'Factores De Emisión'!$L$2:$L$22</definedName>
    <definedName name="equipoproceso">'Factores De Emisión'!$B$2:$B$22</definedName>
    <definedName name="hcv">Listas!$C$52:$C$53</definedName>
    <definedName name="l">Listas!$C$54</definedName>
    <definedName name="lcv">Listas!$C$50:$C$51</definedName>
    <definedName name="metano">'Factores De Emisión'!$J$2:$J$22</definedName>
    <definedName name="nmvoc">'Factores De Emisión'!$F$2:$F$22</definedName>
    <definedName name="nox">'Factores De Emisión'!$G$2:$G$22</definedName>
    <definedName name="pc">Listas!$C$47:$C$49</definedName>
    <definedName name="pm">'Factores De Emisión'!$H$2:$H$22</definedName>
    <definedName name="tipofuente">'Factores De Emisión'!$A$2:$A$22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0" i="1" l="1"/>
  <c r="M93" i="1"/>
  <c r="M94" i="1"/>
  <c r="M95" i="1"/>
  <c r="M96" i="1"/>
  <c r="G86" i="1" l="1" a="1"/>
  <c r="G86" i="1" s="1"/>
  <c r="K102" i="1" a="1"/>
  <c r="K102" i="1" s="1"/>
  <c r="S102" i="1" s="1"/>
  <c r="J102" i="1" a="1"/>
  <c r="J102" i="1" s="1"/>
  <c r="R102" i="1" s="1"/>
  <c r="K101" i="1" a="1"/>
  <c r="K101" i="1" s="1"/>
  <c r="S101" i="1" s="1"/>
  <c r="K100" i="1" a="1"/>
  <c r="K100" i="1" s="1"/>
  <c r="S100" i="1" s="1"/>
  <c r="J100" i="1" a="1"/>
  <c r="J100" i="1" s="1"/>
  <c r="R100" i="1" s="1"/>
  <c r="K94" i="1" a="1"/>
  <c r="K94" i="1" s="1"/>
  <c r="S94" i="1" s="1"/>
  <c r="K95" i="1" a="1"/>
  <c r="K95" i="1" s="1"/>
  <c r="S95" i="1" s="1"/>
  <c r="K96" i="1" a="1"/>
  <c r="K96" i="1" s="1"/>
  <c r="S96" i="1" s="1"/>
  <c r="K93" i="1" a="1"/>
  <c r="K93" i="1" s="1"/>
  <c r="S93" i="1" s="1"/>
  <c r="J93" i="1" a="1"/>
  <c r="J93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0" i="1" a="1"/>
  <c r="K80" i="1" s="1"/>
  <c r="J80" i="1" a="1"/>
  <c r="J80" i="1" s="1"/>
  <c r="I102" i="1" a="1"/>
  <c r="I102" i="1" s="1"/>
  <c r="Q102" i="1" s="1"/>
  <c r="H102" i="1" a="1"/>
  <c r="H102" i="1" s="1"/>
  <c r="P102" i="1" s="1"/>
  <c r="G102" i="1" a="1"/>
  <c r="G102" i="1" s="1"/>
  <c r="O102" i="1" s="1"/>
  <c r="F102" i="1" a="1"/>
  <c r="F102" i="1" s="1"/>
  <c r="N102" i="1" s="1"/>
  <c r="F94" i="1" a="1"/>
  <c r="F94" i="1" s="1"/>
  <c r="N94" i="1" s="1"/>
  <c r="J101" i="1" a="1"/>
  <c r="J101" i="1" s="1"/>
  <c r="R101" i="1" s="1"/>
  <c r="I101" i="1" a="1"/>
  <c r="I101" i="1" s="1"/>
  <c r="Q101" i="1" s="1"/>
  <c r="I100" i="1" a="1"/>
  <c r="I100" i="1" s="1"/>
  <c r="Q100" i="1" s="1"/>
  <c r="H101" i="1" a="1"/>
  <c r="H101" i="1" s="1"/>
  <c r="P101" i="1" s="1"/>
  <c r="H100" i="1" a="1"/>
  <c r="H100" i="1" s="1"/>
  <c r="P100" i="1" s="1"/>
  <c r="G100" i="1" a="1"/>
  <c r="G100" i="1" s="1"/>
  <c r="O100" i="1" s="1"/>
  <c r="G101" i="1" a="1"/>
  <c r="G101" i="1" s="1"/>
  <c r="O101" i="1" s="1"/>
  <c r="F100" i="1" a="1"/>
  <c r="F100" i="1" s="1"/>
  <c r="N100" i="1" s="1"/>
  <c r="F101" i="1" a="1"/>
  <c r="F101" i="1" s="1"/>
  <c r="N101" i="1" s="1"/>
  <c r="F80" i="1" a="1"/>
  <c r="F80" i="1" s="1"/>
  <c r="N80" i="1" s="1"/>
  <c r="F93" i="1" a="1"/>
  <c r="F93" i="1" s="1"/>
  <c r="N93" i="1" s="1"/>
  <c r="J94" i="1" a="1"/>
  <c r="J94" i="1" s="1"/>
  <c r="R94" i="1" s="1"/>
  <c r="J95" i="1" a="1"/>
  <c r="J95" i="1" s="1"/>
  <c r="R95" i="1" s="1"/>
  <c r="J96" i="1" a="1"/>
  <c r="J96" i="1" s="1"/>
  <c r="R96" i="1" s="1"/>
  <c r="I94" i="1" a="1"/>
  <c r="I94" i="1" s="1"/>
  <c r="Q94" i="1" s="1"/>
  <c r="I95" i="1" a="1"/>
  <c r="I95" i="1" s="1"/>
  <c r="Q95" i="1" s="1"/>
  <c r="I96" i="1" a="1"/>
  <c r="I96" i="1" s="1"/>
  <c r="Q96" i="1" s="1"/>
  <c r="I93" i="1" a="1"/>
  <c r="I93" i="1" s="1"/>
  <c r="H94" i="1" a="1"/>
  <c r="H94" i="1" s="1"/>
  <c r="P94" i="1" s="1"/>
  <c r="H95" i="1" a="1"/>
  <c r="H95" i="1" s="1"/>
  <c r="P95" i="1" s="1"/>
  <c r="H96" i="1" a="1"/>
  <c r="H96" i="1" s="1"/>
  <c r="P96" i="1" s="1"/>
  <c r="H93" i="1" a="1"/>
  <c r="H93" i="1" s="1"/>
  <c r="G94" i="1" a="1"/>
  <c r="G94" i="1" s="1"/>
  <c r="O94" i="1" s="1"/>
  <c r="G95" i="1" a="1"/>
  <c r="G95" i="1" s="1"/>
  <c r="O95" i="1" s="1"/>
  <c r="G96" i="1" a="1"/>
  <c r="G96" i="1" s="1"/>
  <c r="O96" i="1" s="1"/>
  <c r="G93" i="1" a="1"/>
  <c r="G93" i="1" s="1"/>
  <c r="F95" i="1" a="1"/>
  <c r="F95" i="1" s="1"/>
  <c r="N95" i="1" s="1"/>
  <c r="F96" i="1" a="1"/>
  <c r="F96" i="1" s="1"/>
  <c r="N96" i="1" s="1"/>
  <c r="M81" i="1"/>
  <c r="M82" i="1"/>
  <c r="M83" i="1"/>
  <c r="M85" i="1"/>
  <c r="M86" i="1"/>
  <c r="M87" i="1"/>
  <c r="F82" i="1" a="1"/>
  <c r="F82" i="1" s="1"/>
  <c r="J85" i="1" a="1"/>
  <c r="J85" i="1" s="1"/>
  <c r="J86" i="1" a="1"/>
  <c r="J86" i="1" s="1"/>
  <c r="J87" i="1" a="1"/>
  <c r="J87" i="1" s="1"/>
  <c r="J84" i="1" a="1"/>
  <c r="J84" i="1" s="1"/>
  <c r="R84" i="1" s="1"/>
  <c r="I85" i="1" a="1"/>
  <c r="I85" i="1" s="1"/>
  <c r="I86" i="1" a="1"/>
  <c r="I86" i="1" s="1"/>
  <c r="I87" i="1" a="1"/>
  <c r="I87" i="1" s="1"/>
  <c r="I84" i="1" a="1"/>
  <c r="I84" i="1" s="1"/>
  <c r="Q84" i="1" s="1"/>
  <c r="H84" i="1" a="1"/>
  <c r="H84" i="1" s="1"/>
  <c r="P84" i="1" s="1"/>
  <c r="H85" i="1" a="1"/>
  <c r="H85" i="1" s="1"/>
  <c r="H86" i="1" a="1"/>
  <c r="H86" i="1" s="1"/>
  <c r="H87" i="1" a="1"/>
  <c r="H87" i="1" s="1"/>
  <c r="G85" i="1" a="1"/>
  <c r="G85" i="1" s="1"/>
  <c r="G87" i="1" a="1"/>
  <c r="G87" i="1" s="1"/>
  <c r="G84" i="1" a="1"/>
  <c r="G84" i="1" s="1"/>
  <c r="O84" i="1" s="1"/>
  <c r="F86" i="1" a="1"/>
  <c r="F86" i="1" s="1"/>
  <c r="F87" i="1" a="1"/>
  <c r="F87" i="1" s="1"/>
  <c r="F85" i="1" a="1"/>
  <c r="F85" i="1" s="1"/>
  <c r="F84" i="1" a="1"/>
  <c r="F84" i="1" s="1"/>
  <c r="N84" i="1" s="1"/>
  <c r="J83" i="1" a="1"/>
  <c r="J83" i="1" s="1"/>
  <c r="J81" i="1" a="1"/>
  <c r="J81" i="1" s="1"/>
  <c r="J82" i="1" a="1"/>
  <c r="J82" i="1" s="1"/>
  <c r="I80" i="1" a="1"/>
  <c r="I80" i="1" s="1"/>
  <c r="I81" i="1" a="1"/>
  <c r="I81" i="1" s="1"/>
  <c r="I82" i="1" a="1"/>
  <c r="I82" i="1" s="1"/>
  <c r="I83" i="1" a="1"/>
  <c r="I83" i="1" s="1"/>
  <c r="H80" i="1" a="1"/>
  <c r="H80" i="1" s="1"/>
  <c r="H81" i="1" a="1"/>
  <c r="H81" i="1" s="1"/>
  <c r="H82" i="1" a="1"/>
  <c r="H82" i="1" s="1"/>
  <c r="H83" i="1" a="1"/>
  <c r="H83" i="1" s="1"/>
  <c r="P83" i="1" s="1"/>
  <c r="G80" i="1" a="1"/>
  <c r="G80" i="1" s="1"/>
  <c r="G81" i="1" a="1"/>
  <c r="G81" i="1" s="1"/>
  <c r="G82" i="1" a="1"/>
  <c r="G82" i="1" s="1"/>
  <c r="G83" i="1" a="1"/>
  <c r="G83" i="1" s="1"/>
  <c r="O83" i="1" s="1"/>
  <c r="F83" i="1" a="1"/>
  <c r="F83" i="1" s="1"/>
  <c r="N83" i="1" s="1"/>
  <c r="F81" i="1" a="1"/>
  <c r="F81" i="1" s="1"/>
  <c r="N81" i="1" s="1"/>
  <c r="S82" i="1" l="1"/>
  <c r="R82" i="1"/>
  <c r="S87" i="1"/>
  <c r="R83" i="1"/>
  <c r="N103" i="1"/>
  <c r="S103" i="1"/>
  <c r="Q109" i="1" s="1"/>
  <c r="Q83" i="1"/>
  <c r="N85" i="1"/>
  <c r="S80" i="1"/>
  <c r="S86" i="1"/>
  <c r="S85" i="1"/>
  <c r="S84" i="1"/>
  <c r="S83" i="1"/>
  <c r="R80" i="1"/>
  <c r="S81" i="1"/>
  <c r="P87" i="1"/>
  <c r="N109" i="1"/>
  <c r="R93" i="1"/>
  <c r="R103" i="1" s="1"/>
  <c r="P109" i="1" s="1"/>
  <c r="Q93" i="1"/>
  <c r="Q103" i="1" s="1"/>
  <c r="P93" i="1"/>
  <c r="P103" i="1" s="1"/>
  <c r="O109" i="1" s="1"/>
  <c r="O93" i="1"/>
  <c r="O103" i="1" s="1"/>
  <c r="P82" i="1"/>
  <c r="O86" i="1"/>
  <c r="Q86" i="1"/>
  <c r="O85" i="1"/>
  <c r="Q85" i="1"/>
  <c r="Q82" i="1"/>
  <c r="O81" i="1"/>
  <c r="N87" i="1"/>
  <c r="P85" i="1"/>
  <c r="R86" i="1"/>
  <c r="N82" i="1"/>
  <c r="O82" i="1"/>
  <c r="P86" i="1"/>
  <c r="N86" i="1"/>
  <c r="R85" i="1"/>
  <c r="P80" i="1"/>
  <c r="R87" i="1"/>
  <c r="P81" i="1"/>
  <c r="R81" i="1"/>
  <c r="Q87" i="1"/>
  <c r="Q81" i="1"/>
  <c r="O87" i="1"/>
  <c r="O80" i="1"/>
  <c r="Q80" i="1"/>
  <c r="O88" i="1" l="1"/>
  <c r="S88" i="1"/>
  <c r="S104" i="1" s="1"/>
  <c r="R109" i="1"/>
  <c r="R88" i="1"/>
  <c r="N88" i="1"/>
  <c r="P88" i="1"/>
  <c r="Q88" i="1"/>
  <c r="N108" i="1" l="1"/>
  <c r="N104" i="1"/>
  <c r="Q108" i="1"/>
  <c r="O108" i="1"/>
  <c r="P104" i="1"/>
  <c r="O104" i="1"/>
  <c r="Q104" i="1"/>
  <c r="P108" i="1"/>
  <c r="R104" i="1"/>
  <c r="R108" i="1" l="1"/>
  <c r="R110" i="1" s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<sst xmlns="http://schemas.openxmlformats.org/spreadsheetml/2006/main" count="500" uniqueCount="274">
  <si>
    <t>CODIGO</t>
  </si>
  <si>
    <t>INSTITUTO NACIONAL DE VÍAS</t>
  </si>
  <si>
    <t>VERSIÓN</t>
  </si>
  <si>
    <t>MANUAL DE INTERVENTORÍA OBRA PÚBLICA</t>
  </si>
  <si>
    <t>CÁLCULO DE EMISIONES EN CONTRATOS DE OBRA</t>
  </si>
  <si>
    <t xml:space="preserve">PAGINA </t>
  </si>
  <si>
    <t>UNIDAD EJECUTORA</t>
  </si>
  <si>
    <t>DIRECCIÓN TERRITORIAL</t>
  </si>
  <si>
    <t xml:space="preserve">TIPO DE PROYECTO </t>
  </si>
  <si>
    <t xml:space="preserve">CONTRATO DE OBRA N° </t>
  </si>
  <si>
    <t xml:space="preserve">DEL </t>
  </si>
  <si>
    <t xml:space="preserve">CONTRATO DE INTERVENTORÍA N° </t>
  </si>
  <si>
    <t>(Día)</t>
  </si>
  <si>
    <t>(Mes)</t>
  </si>
  <si>
    <t>(Año)</t>
  </si>
  <si>
    <t>VERSIÓN N° 1</t>
  </si>
  <si>
    <t>DEL</t>
  </si>
  <si>
    <t xml:space="preserve">AL </t>
  </si>
  <si>
    <t>VERSIÓN N°</t>
  </si>
  <si>
    <t xml:space="preserve">OBJETO DEL PROYECTO </t>
  </si>
  <si>
    <t>LICENCIADO</t>
  </si>
  <si>
    <t xml:space="preserve">Resolución N° </t>
  </si>
  <si>
    <t xml:space="preserve">NO LICENCIADO - PAGA </t>
  </si>
  <si>
    <t xml:space="preserve">1. DATOS GENERALES </t>
  </si>
  <si>
    <t>1.1 CONTRATISTA</t>
  </si>
  <si>
    <t>1.2. INTERVENTORIA</t>
  </si>
  <si>
    <t>1.3 INVIAS- SOSTENIBILIDAD</t>
  </si>
  <si>
    <t xml:space="preserve">NIT </t>
  </si>
  <si>
    <t>NOMBRE INTERVENTORIA</t>
  </si>
  <si>
    <t>GESTOR TECNICO</t>
  </si>
  <si>
    <t xml:space="preserve">NOMBRE CONTRATISTA </t>
  </si>
  <si>
    <t>NOMBRE DEL REPRESENTANTE LEGAL</t>
  </si>
  <si>
    <t>NOMBRE</t>
  </si>
  <si>
    <t>CEDULA</t>
  </si>
  <si>
    <t>CORREO ELECTRONICO</t>
  </si>
  <si>
    <t>NOMBRE DEL DIRECTOR DE OBRA</t>
  </si>
  <si>
    <t>TELEFONO</t>
  </si>
  <si>
    <t>GESTOR AMBIENTAL</t>
  </si>
  <si>
    <t>CONTRATO N°</t>
  </si>
  <si>
    <t>OBJETO DEL CONTRATO</t>
  </si>
  <si>
    <t xml:space="preserve">FECHA DE INICIO </t>
  </si>
  <si>
    <t xml:space="preserve">FECHA TERMINACIÓN </t>
  </si>
  <si>
    <t>GESTOR SOCIAL</t>
  </si>
  <si>
    <t>VALOR DEL CONTRATO</t>
  </si>
  <si>
    <t>RECURSOS SOSTENIBILIDAD ASIGNADOS</t>
  </si>
  <si>
    <t>DIRECCIÓN DE LA EMPRESA</t>
  </si>
  <si>
    <t>CELULAR</t>
  </si>
  <si>
    <t>GESTOR ECONOMICO/FINANCIERO</t>
  </si>
  <si>
    <t xml:space="preserve">2. PERSONAL SOSTENIBILIDAD </t>
  </si>
  <si>
    <t xml:space="preserve">2.1 ESPECIALISTA EN SOSTENIBILIDAD </t>
  </si>
  <si>
    <t>N° CEDULA</t>
  </si>
  <si>
    <t>PROFESIÓN</t>
  </si>
  <si>
    <t>N° TARJETA PROFESIONAL</t>
  </si>
  <si>
    <t>POSGRADO</t>
  </si>
  <si>
    <t xml:space="preserve">CARGO </t>
  </si>
  <si>
    <t xml:space="preserve">TITULO </t>
  </si>
  <si>
    <t>% DE DEDICACIÓN</t>
  </si>
  <si>
    <t>CORREO ELECTRÓNICO</t>
  </si>
  <si>
    <t xml:space="preserve">2.2. PROFESIONALES DE APOYO A LA SOSTENIBILIDAD </t>
  </si>
  <si>
    <t>CARGO</t>
  </si>
  <si>
    <t xml:space="preserve">3. INFORMACIÓN PRESUPUESTAL </t>
  </si>
  <si>
    <t>Valor inicial  de obra</t>
  </si>
  <si>
    <t>Valor adicional de obra N°</t>
  </si>
  <si>
    <t xml:space="preserve">Valor total de la obra </t>
  </si>
  <si>
    <t>Valor Provisión  Sostenibilidad</t>
  </si>
  <si>
    <t>Valor Provisión Adicional 1 Sostenibilidad</t>
  </si>
  <si>
    <t>Valor Provisión Adicional 2 Sostenibilidad</t>
  </si>
  <si>
    <t>Valor Total Provisión Sostenibilidad</t>
  </si>
  <si>
    <t>Valor Total Provisión Sostenibilidad Pagado</t>
  </si>
  <si>
    <t>4. UBICACIÓN DEL PROYECTO</t>
  </si>
  <si>
    <t>DEPARTAMENTO</t>
  </si>
  <si>
    <t>MUNICIPIO</t>
  </si>
  <si>
    <t>GEORREFERENCIACIÓN</t>
  </si>
  <si>
    <t>PR</t>
  </si>
  <si>
    <t xml:space="preserve">NOMBRE DE LA VÍA </t>
  </si>
  <si>
    <t>NOMBRE DEL TRAMO</t>
  </si>
  <si>
    <t>CLASIFICACIÓN DEL PROYECTO DE ACUERDO AL OT</t>
  </si>
  <si>
    <t>PORCENTAJE</t>
  </si>
  <si>
    <t>Coordenada inicial - Coordenada Final</t>
  </si>
  <si>
    <t>PR inicial - PR final</t>
  </si>
  <si>
    <t>SUELO URBANO</t>
  </si>
  <si>
    <t xml:space="preserve"> SUELO subURBANO</t>
  </si>
  <si>
    <t xml:space="preserve"> SUELO RURAL</t>
  </si>
  <si>
    <t>5. DESCRIPCIÓN GENERAL DEL PROYECTO</t>
  </si>
  <si>
    <t xml:space="preserve">CARRETERO </t>
  </si>
  <si>
    <t>MARITIMO Y FLUVIAL</t>
  </si>
  <si>
    <t>FERREO</t>
  </si>
  <si>
    <t xml:space="preserve">Observaciones </t>
  </si>
  <si>
    <t xml:space="preserve">Funcionalidad </t>
  </si>
  <si>
    <t>Categorización</t>
  </si>
  <si>
    <t>6.    CALCULO DE EMISIONES</t>
  </si>
  <si>
    <t>6.1 FUENTES MOVILES</t>
  </si>
  <si>
    <t>Equipo / Proceso</t>
  </si>
  <si>
    <t>Categoria</t>
  </si>
  <si>
    <t>Combustibles</t>
  </si>
  <si>
    <t xml:space="preserve">consumo de combustible (gal) </t>
  </si>
  <si>
    <t xml:space="preserve">Factor de emisión(g/Kg combustible) </t>
  </si>
  <si>
    <t xml:space="preserve">densidad del combustible (kg/gal) </t>
  </si>
  <si>
    <t xml:space="preserve">peso del combustible (Kg combustible) </t>
  </si>
  <si>
    <t xml:space="preserve">emisiones (g) </t>
  </si>
  <si>
    <t>CO</t>
  </si>
  <si>
    <t>NMVOC</t>
  </si>
  <si>
    <t>NOx</t>
  </si>
  <si>
    <t>PM</t>
  </si>
  <si>
    <t>CO2</t>
  </si>
  <si>
    <t>CH4</t>
  </si>
  <si>
    <t>vehiculos</t>
  </si>
  <si>
    <t>pc</t>
  </si>
  <si>
    <t>lcv</t>
  </si>
  <si>
    <t>hcv</t>
  </si>
  <si>
    <t>l</t>
  </si>
  <si>
    <t>maquinaria</t>
  </si>
  <si>
    <t>-</t>
  </si>
  <si>
    <t>SUBTOTAL FUENTES MOVILES</t>
  </si>
  <si>
    <t>6.2 FUENTES FIJAS</t>
  </si>
  <si>
    <t>6.2.1.producción de pavimentos</t>
  </si>
  <si>
    <t>cantidad volumetrica de material (m3)</t>
  </si>
  <si>
    <t xml:space="preserve">Factor de emisión(g/Kg material) </t>
  </si>
  <si>
    <t>densidad del material(Kg/m3)</t>
  </si>
  <si>
    <t xml:space="preserve">cantidad de material (Kg material) </t>
  </si>
  <si>
    <t>planta de mezcla de asfaltos</t>
  </si>
  <si>
    <t>Tratamiento_por_lotes</t>
  </si>
  <si>
    <t>Tratamiento_continuo</t>
  </si>
  <si>
    <t>planta dosificación de hormigon</t>
  </si>
  <si>
    <t>Con_Control</t>
  </si>
  <si>
    <t>Sin_Control</t>
  </si>
  <si>
    <t>6.2.2.consumo de energía</t>
  </si>
  <si>
    <t>consumo de energía-combustible</t>
  </si>
  <si>
    <t xml:space="preserve">Factor de emisión </t>
  </si>
  <si>
    <t xml:space="preserve">unidad factor de emision </t>
  </si>
  <si>
    <t>dato</t>
  </si>
  <si>
    <t>unidades</t>
  </si>
  <si>
    <t>planta de generación energía eléctrica</t>
  </si>
  <si>
    <t>Entrada_de_combustible</t>
  </si>
  <si>
    <t>Gasolina</t>
  </si>
  <si>
    <t>gal</t>
  </si>
  <si>
    <t>(g/Kg combustible)</t>
  </si>
  <si>
    <t>Salida_de_potencia</t>
  </si>
  <si>
    <t>Diesel</t>
  </si>
  <si>
    <t>kwh</t>
  </si>
  <si>
    <t>(g/Kwh energía)</t>
  </si>
  <si>
    <t>Energía_Eléctrica_Red</t>
  </si>
  <si>
    <t>SUBTOTAL FUENTES FIJAS</t>
  </si>
  <si>
    <t xml:space="preserve"> CALCULO TOTAL DE EMISIONES</t>
  </si>
  <si>
    <t xml:space="preserve">7. CALCULO DE LA HUELLA DE CARBONO </t>
  </si>
  <si>
    <t>fuentes</t>
  </si>
  <si>
    <t xml:space="preserve">emisiones principales gases que generan el calentamiento global (gCO2e) </t>
  </si>
  <si>
    <t xml:space="preserve">emisiones totales principales gases que generan el calentamiento global (gCO2e) </t>
  </si>
  <si>
    <t>fuentes moviles</t>
  </si>
  <si>
    <t>fuentes fijas</t>
  </si>
  <si>
    <t xml:space="preserve">TOTAL HUELLA DE CARBONO </t>
  </si>
  <si>
    <t>NOTAS</t>
  </si>
  <si>
    <t>1. Es responsabilidad del Interventor y del Contratista dar cumplimiento a lo establecido en la Resolución 405 del 13 de febrero del 2020 por la cual se adoptó la POLÍTICA DE SOSTENIBILIDAD PARA LA INFRAESTRUCTURA DE TRANSPORTE DEL INSTITUTO NACIONAL DE VÍAS- INVIAS así como lo indicado en el apéndice de Sostenibilidad.</t>
  </si>
  <si>
    <t>2. Es responsabilidad del contratista el diligenciamiento del presente formato.</t>
  </si>
  <si>
    <t>3. Es responsabilidad de la interventoría dar seguimiento, control, aprobación y complementación del presente formato, para posteriormente radicar al grupo de Sostenibilidad de la Subdirección de Sostenibilidad.</t>
  </si>
  <si>
    <t>4. El Interventor y el Contratista asumen plena responsabilidad por la veracidad de la información y de los datos registrados en el presente formato y la congruencia del mismo.</t>
  </si>
  <si>
    <t>FIRMA</t>
  </si>
  <si>
    <t>Nombre:</t>
  </si>
  <si>
    <t>Director de Obra</t>
  </si>
  <si>
    <t>Director de Interventoría</t>
  </si>
  <si>
    <t>Matrícula No.:</t>
  </si>
  <si>
    <t>Especialista de Sostenibilidad Contratista</t>
  </si>
  <si>
    <t>Especialista de Sostenibilidad Interventoría</t>
  </si>
  <si>
    <t>Tipofuente</t>
  </si>
  <si>
    <t>Equipoproceso</t>
  </si>
  <si>
    <t>Categoría</t>
  </si>
  <si>
    <t>Combustible</t>
  </si>
  <si>
    <t>SOx</t>
  </si>
  <si>
    <t>COT</t>
  </si>
  <si>
    <t>Unidades factor de emisión</t>
  </si>
  <si>
    <t>Móvil</t>
  </si>
  <si>
    <t>Vehículos</t>
  </si>
  <si>
    <t>PC</t>
  </si>
  <si>
    <t>g/kg combustible</t>
  </si>
  <si>
    <t>LPG</t>
  </si>
  <si>
    <t>LCV</t>
  </si>
  <si>
    <t>HCV</t>
  </si>
  <si>
    <t>CNG</t>
  </si>
  <si>
    <t>L</t>
  </si>
  <si>
    <t>Maquinaria</t>
  </si>
  <si>
    <t>NA_Maquinaria</t>
  </si>
  <si>
    <t>GLP</t>
  </si>
  <si>
    <t>Gasolina 4 ejes</t>
  </si>
  <si>
    <t>Gasolina 2 ejes</t>
  </si>
  <si>
    <t>Fija</t>
  </si>
  <si>
    <t>Plantas_de_mezcla_de_asfalto</t>
  </si>
  <si>
    <t>NA_Tratamiento_por_lotes</t>
  </si>
  <si>
    <t>g/kg material</t>
  </si>
  <si>
    <t>NA_Tratamiento_continuo</t>
  </si>
  <si>
    <t>Planta_de_Generación_Energía_Eléctrica</t>
  </si>
  <si>
    <t xml:space="preserve">g/kwh energía </t>
  </si>
  <si>
    <t>NA_Energía_Eléctrica_Red</t>
  </si>
  <si>
    <t>Planta_Dosificación_Hormigón</t>
  </si>
  <si>
    <t>NA</t>
  </si>
  <si>
    <t>CLASIFICACION DEL PROYECTO DE ACUERDO AL OT</t>
  </si>
  <si>
    <t>Dirección Territorial Antioquia</t>
  </si>
  <si>
    <t>Proyecto en suelo urbano</t>
  </si>
  <si>
    <t>Dirección Territorial Atlántico</t>
  </si>
  <si>
    <t>Proyecto en suelo expansión urbano</t>
  </si>
  <si>
    <t>Dirección Territorial Bolívar</t>
  </si>
  <si>
    <t>Proyecto en suelo rural</t>
  </si>
  <si>
    <t>Dirección Territorial Boyacá</t>
  </si>
  <si>
    <t>Dirección Territorial Caldas</t>
  </si>
  <si>
    <t>Dirección Territorial Caquetá</t>
  </si>
  <si>
    <t xml:space="preserve">Primaria </t>
  </si>
  <si>
    <t>Dirección Territorial Casanare</t>
  </si>
  <si>
    <t>Secundaria</t>
  </si>
  <si>
    <t>Dirección Territorial Cauca</t>
  </si>
  <si>
    <t xml:space="preserve">Terciaria </t>
  </si>
  <si>
    <t>Dirección Territorial Cesar</t>
  </si>
  <si>
    <t>Dirección Territorial Chocó</t>
  </si>
  <si>
    <t>Dirección Territorial Córdoba</t>
  </si>
  <si>
    <t>Nuevo</t>
  </si>
  <si>
    <t>Dirección Territorial Cundinamarca</t>
  </si>
  <si>
    <t>Reabilitación</t>
  </si>
  <si>
    <t>Dirección Territorial Guajira</t>
  </si>
  <si>
    <t>Mejoramiento</t>
  </si>
  <si>
    <t>Dirección Territorial Huila</t>
  </si>
  <si>
    <t>Mantenimiento</t>
  </si>
  <si>
    <t>Dirección Territorial Magdalena</t>
  </si>
  <si>
    <t>Pavimentación</t>
  </si>
  <si>
    <t>Dirección Territorial Meta</t>
  </si>
  <si>
    <t>Dirección Territorial Nariño</t>
  </si>
  <si>
    <t>Dirección Territorial Norte de Santander</t>
  </si>
  <si>
    <t>Muelle</t>
  </si>
  <si>
    <t>Dirección Territorial Ocaña</t>
  </si>
  <si>
    <t>Puerto</t>
  </si>
  <si>
    <t>Dirección Territorial Putumayo</t>
  </si>
  <si>
    <t>Contrucción de malecón</t>
  </si>
  <si>
    <t>Dirección Territorial Quindío</t>
  </si>
  <si>
    <t>Dirección Territorial Risaralda</t>
  </si>
  <si>
    <t>Dirección Territorial Santander</t>
  </si>
  <si>
    <t>Dirección Territorial Sucre</t>
  </si>
  <si>
    <t>Dirección Territorial Tolima</t>
  </si>
  <si>
    <t>Dirección Territorial Valle</t>
  </si>
  <si>
    <t>Dirección Operativa</t>
  </si>
  <si>
    <t>Dirección Técnica</t>
  </si>
  <si>
    <t>Grupo Grandes Proyectos</t>
  </si>
  <si>
    <t>Grupo Peajes y Valorización</t>
  </si>
  <si>
    <t>Grupo Túnel de la Línea</t>
  </si>
  <si>
    <t>Subdirección de Estudios e Innovación</t>
  </si>
  <si>
    <t>Subdirección de Medio Ambiente y Gestión Social</t>
  </si>
  <si>
    <t>Subdirección de Prevención y Atención de Emergencias</t>
  </si>
  <si>
    <t>Restauración del corredor</t>
  </si>
  <si>
    <t>Subdirección Maritima y fluvial</t>
  </si>
  <si>
    <t>Señalización</t>
  </si>
  <si>
    <t>Subdirección Red Nacional de Carreteras</t>
  </si>
  <si>
    <t>Subdirección Red Terciaria y Férrea</t>
  </si>
  <si>
    <t>Fuente de Emisión de GEI</t>
  </si>
  <si>
    <t>TIPO DE PROYECTO</t>
  </si>
  <si>
    <t>Maquinarias</t>
  </si>
  <si>
    <t>Licenciado</t>
  </si>
  <si>
    <t>Vehiculos</t>
  </si>
  <si>
    <t>No licenciado</t>
  </si>
  <si>
    <t>DÍA</t>
  </si>
  <si>
    <t>Combustible vehiculo</t>
  </si>
  <si>
    <t>combustible maquinaria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</si>
  <si>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</si>
  <si>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</si>
  <si>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</si>
  <si>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</si>
  <si>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</si>
  <si>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</si>
  <si>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</si>
  <si>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</si>
  <si>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</si>
  <si>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</si>
  <si>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</si>
  <si>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</si>
  <si>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</si>
  <si>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</si>
  <si>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INFORME</t>
  </si>
  <si>
    <t>PROCESO MISIONAL GESTIÓN AMBIENTAL, SOCIAL, PREDIAL Y DE SOSTENIBILIDAD DE PROYECTOS</t>
  </si>
  <si>
    <t>MASPS-MN1-IN-6-FR-6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</si>
</sst>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_-;\-&quot;$&quot;* #,##0_-;_-&quot;$&quot;* &quot;-&quot;_-;_-@_-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4D5156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6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90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/>
    <xf numFmtId="0" fontId="5" fillId="0" borderId="57" xfId="0" applyFont="1" applyBorder="1"/>
    <xf numFmtId="0" fontId="5" fillId="0" borderId="0" xfId="0" applyFont="1"/>
    <xf numFmtId="0" fontId="6" fillId="0" borderId="57" xfId="0" applyFont="1" applyBorder="1" applyAlignment="1">
      <alignment horizontal="left" vertical="top" wrapText="1"/>
    </xf>
    <xf numFmtId="0" fontId="7" fillId="0" borderId="57" xfId="0" applyFont="1" applyBorder="1"/>
    <xf numFmtId="0" fontId="7" fillId="0" borderId="0" xfId="0" applyFont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0" xfId="0" applyBorder="1" applyAlignment="1">
      <alignment horizontal="left"/>
    </xf>
    <xf numFmtId="0" fontId="5" fillId="0" borderId="0" xfId="0" applyFont="1" applyFill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8" xfId="0" applyFont="1" applyFill="1" applyBorder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20" xfId="0" applyFont="1" applyFill="1" applyBorder="1" applyAlignment="1">
      <alignment vertical="center" wrapText="1"/>
    </xf>
    <xf numFmtId="0" fontId="7" fillId="0" borderId="0" xfId="0" applyFont="1" applyFill="1" applyAlignment="1">
      <alignment horizontal="center" vertical="center" wrapText="1"/>
    </xf>
    <xf numFmtId="0" fontId="7" fillId="0" borderId="20" xfId="0" applyFont="1" applyFill="1" applyBorder="1" applyAlignment="1">
      <alignment vertical="center" wrapText="1"/>
    </xf>
    <xf numFmtId="0" fontId="7" fillId="0" borderId="21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10" fillId="0" borderId="15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right" vertical="center" wrapText="1"/>
    </xf>
    <xf numFmtId="0" fontId="7" fillId="0" borderId="8" xfId="0" applyFont="1" applyFill="1" applyBorder="1" applyAlignment="1">
      <alignment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5" fillId="0" borderId="24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vertical="center" wrapText="1"/>
    </xf>
    <xf numFmtId="0" fontId="7" fillId="0" borderId="29" xfId="0" applyFont="1" applyFill="1" applyBorder="1" applyAlignment="1">
      <alignment vertical="center" wrapText="1"/>
    </xf>
    <xf numFmtId="0" fontId="7" fillId="0" borderId="32" xfId="0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58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vertical="center" wrapText="1"/>
    </xf>
    <xf numFmtId="0" fontId="5" fillId="0" borderId="29" xfId="0" applyFont="1" applyFill="1" applyBorder="1" applyAlignment="1">
      <alignment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vertical="center" wrapText="1"/>
    </xf>
    <xf numFmtId="0" fontId="4" fillId="0" borderId="22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4" fillId="0" borderId="40" xfId="0" applyFont="1" applyFill="1" applyBorder="1" applyAlignment="1">
      <alignment horizontal="center" vertical="center" wrapText="1"/>
    </xf>
    <xf numFmtId="0" fontId="4" fillId="0" borderId="41" xfId="0" applyFont="1" applyFill="1" applyBorder="1" applyAlignment="1">
      <alignment horizontal="center" vertical="center" wrapText="1"/>
    </xf>
    <xf numFmtId="0" fontId="4" fillId="0" borderId="26" xfId="0" applyFont="1" applyFill="1" applyBorder="1" applyAlignment="1">
      <alignment horizontal="center" vertical="center" wrapText="1"/>
    </xf>
    <xf numFmtId="0" fontId="4" fillId="0" borderId="34" xfId="0" applyFont="1" applyFill="1" applyBorder="1" applyAlignment="1">
      <alignment horizontal="center" vertical="center" wrapText="1"/>
    </xf>
    <xf numFmtId="0" fontId="4" fillId="0" borderId="35" xfId="0" applyFont="1" applyFill="1" applyBorder="1" applyAlignment="1">
      <alignment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vertical="center" wrapText="1"/>
    </xf>
    <xf numFmtId="0" fontId="4" fillId="0" borderId="59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5" fillId="0" borderId="43" xfId="0" applyFont="1" applyFill="1" applyBorder="1" applyAlignment="1">
      <alignment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vertical="center" wrapText="1"/>
    </xf>
    <xf numFmtId="0" fontId="5" fillId="0" borderId="10" xfId="0" applyFont="1" applyFill="1" applyBorder="1" applyAlignment="1">
      <alignment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5" fillId="0" borderId="47" xfId="0" applyFont="1" applyFill="1" applyBorder="1" applyAlignment="1">
      <alignment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vertical="center" wrapText="1"/>
    </xf>
    <xf numFmtId="0" fontId="5" fillId="0" borderId="26" xfId="0" applyFont="1" applyFill="1" applyBorder="1" applyAlignment="1">
      <alignment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vertical="center" wrapText="1"/>
    </xf>
    <xf numFmtId="0" fontId="5" fillId="0" borderId="34" xfId="0" applyFont="1" applyFill="1" applyBorder="1" applyAlignment="1">
      <alignment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4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/>
    <xf numFmtId="0" fontId="0" fillId="0" borderId="10" xfId="0" applyFill="1" applyBorder="1"/>
    <xf numFmtId="0" fontId="1" fillId="0" borderId="0" xfId="0" applyFont="1" applyFill="1" applyAlignment="1">
      <alignment vertical="center"/>
    </xf>
    <xf numFmtId="0" fontId="1" fillId="0" borderId="10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8" fillId="0" borderId="10" xfId="0" applyFont="1" applyFill="1" applyBorder="1"/>
    <xf numFmtId="0" fontId="5" fillId="0" borderId="10" xfId="0" applyFont="1" applyFill="1" applyBorder="1" applyAlignment="1">
      <alignment vertical="center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vertical="center" wrapText="1"/>
    </xf>
    <xf numFmtId="0" fontId="1" fillId="0" borderId="46" xfId="0" applyFont="1" applyFill="1" applyBorder="1" applyAlignment="1">
      <alignment vertical="center"/>
    </xf>
    <xf numFmtId="0" fontId="7" fillId="0" borderId="46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vertical="center" wrapText="1"/>
    </xf>
    <xf numFmtId="0" fontId="6" fillId="0" borderId="24" xfId="0" applyFont="1" applyFill="1" applyBorder="1" applyAlignment="1">
      <alignment vertical="center" wrapText="1"/>
    </xf>
    <xf numFmtId="0" fontId="6" fillId="0" borderId="23" xfId="0" applyFont="1" applyFill="1" applyBorder="1" applyAlignment="1">
      <alignment vertical="center" wrapText="1"/>
    </xf>
    <xf numFmtId="0" fontId="6" fillId="0" borderId="7" xfId="0" applyFont="1" applyFill="1" applyBorder="1" applyAlignment="1">
      <alignment horizontal="left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9" fontId="5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7" fillId="0" borderId="0" xfId="0" applyFont="1" applyFill="1"/>
    <xf numFmtId="0" fontId="5" fillId="0" borderId="8" xfId="0" applyFont="1" applyFill="1" applyBorder="1"/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9" fontId="13" fillId="0" borderId="7" xfId="1" applyFont="1" applyFill="1" applyBorder="1" applyAlignment="1">
      <alignment horizontal="center" vertical="center" wrapText="1"/>
    </xf>
    <xf numFmtId="9" fontId="13" fillId="0" borderId="0" xfId="1" applyFont="1" applyFill="1" applyBorder="1" applyAlignment="1">
      <alignment horizontal="center" vertical="center" wrapText="1"/>
    </xf>
    <xf numFmtId="9" fontId="13" fillId="0" borderId="8" xfId="1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0" xfId="0" applyFont="1" applyFill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24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44" xfId="0" applyFont="1" applyFill="1" applyBorder="1" applyAlignment="1">
      <alignment horizontal="center" vertical="center" wrapText="1"/>
    </xf>
    <xf numFmtId="0" fontId="6" fillId="0" borderId="45" xfId="0" applyFont="1" applyFill="1" applyBorder="1" applyAlignment="1">
      <alignment horizontal="center" vertical="center" wrapText="1"/>
    </xf>
    <xf numFmtId="0" fontId="6" fillId="0" borderId="58" xfId="0" applyFont="1" applyFill="1" applyBorder="1" applyAlignment="1">
      <alignment horizontal="center" vertical="center" wrapText="1"/>
    </xf>
    <xf numFmtId="0" fontId="6" fillId="0" borderId="50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center" vertical="center" wrapText="1"/>
    </xf>
    <xf numFmtId="0" fontId="5" fillId="0" borderId="55" xfId="0" applyFont="1" applyFill="1" applyBorder="1" applyAlignment="1">
      <alignment horizontal="center" vertical="center" wrapText="1"/>
    </xf>
    <xf numFmtId="0" fontId="5" fillId="0" borderId="49" xfId="0" applyFont="1" applyFill="1" applyBorder="1" applyAlignment="1">
      <alignment horizontal="center" vertical="center" wrapText="1"/>
    </xf>
    <xf numFmtId="0" fontId="7" fillId="0" borderId="46" xfId="0" applyFont="1" applyFill="1" applyBorder="1" applyAlignment="1">
      <alignment horizontal="left" vertical="center" wrapText="1"/>
    </xf>
    <xf numFmtId="0" fontId="7" fillId="0" borderId="55" xfId="0" applyFont="1" applyFill="1" applyBorder="1" applyAlignment="1">
      <alignment horizontal="left" vertical="center" wrapText="1"/>
    </xf>
    <xf numFmtId="0" fontId="7" fillId="0" borderId="47" xfId="0" applyFont="1" applyFill="1" applyBorder="1" applyAlignment="1">
      <alignment horizontal="left" vertical="center" wrapText="1"/>
    </xf>
    <xf numFmtId="0" fontId="5" fillId="0" borderId="47" xfId="0" applyFont="1" applyFill="1" applyBorder="1" applyAlignment="1">
      <alignment horizontal="center" vertical="center" wrapText="1"/>
    </xf>
    <xf numFmtId="0" fontId="6" fillId="0" borderId="36" xfId="0" applyFont="1" applyFill="1" applyBorder="1" applyAlignment="1">
      <alignment horizontal="center" vertical="center" wrapText="1"/>
    </xf>
    <xf numFmtId="0" fontId="6" fillId="0" borderId="37" xfId="0" applyFont="1" applyFill="1" applyBorder="1" applyAlignment="1">
      <alignment horizontal="center" vertical="center" wrapText="1"/>
    </xf>
    <xf numFmtId="0" fontId="6" fillId="0" borderId="38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left" vertical="center" wrapText="1"/>
    </xf>
    <xf numFmtId="0" fontId="7" fillId="0" borderId="29" xfId="0" applyFont="1" applyFill="1" applyBorder="1" applyAlignment="1">
      <alignment horizontal="left" vertical="center" wrapText="1"/>
    </xf>
    <xf numFmtId="0" fontId="7" fillId="0" borderId="30" xfId="0" applyFont="1" applyFill="1" applyBorder="1" applyAlignment="1">
      <alignment horizontal="left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7" fillId="0" borderId="48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 wrapText="1"/>
    </xf>
    <xf numFmtId="0" fontId="9" fillId="0" borderId="62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4" fillId="0" borderId="44" xfId="0" applyFont="1" applyFill="1" applyBorder="1" applyAlignment="1">
      <alignment horizontal="center" vertical="center" wrapText="1"/>
    </xf>
    <xf numFmtId="0" fontId="4" fillId="0" borderId="45" xfId="0" applyFont="1" applyFill="1" applyBorder="1" applyAlignment="1">
      <alignment horizontal="center" vertical="center" wrapText="1"/>
    </xf>
    <xf numFmtId="0" fontId="6" fillId="0" borderId="46" xfId="0" applyFont="1" applyFill="1" applyBorder="1" applyAlignment="1">
      <alignment horizontal="center" vertical="center" wrapText="1"/>
    </xf>
    <xf numFmtId="0" fontId="6" fillId="0" borderId="47" xfId="0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horizontal="center" vertical="center" wrapText="1"/>
    </xf>
    <xf numFmtId="0" fontId="4" fillId="0" borderId="43" xfId="0" applyFont="1" applyFill="1" applyBorder="1" applyAlignment="1">
      <alignment horizontal="center" vertical="center" wrapText="1"/>
    </xf>
    <xf numFmtId="0" fontId="4" fillId="0" borderId="60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horizontal="center" wrapText="1"/>
    </xf>
    <xf numFmtId="0" fontId="4" fillId="0" borderId="46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4" fillId="0" borderId="47" xfId="0" applyFont="1" applyFill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4" fillId="0" borderId="13" xfId="0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18" xfId="0" applyFont="1" applyFill="1" applyBorder="1" applyAlignment="1">
      <alignment horizontal="center" vertical="center" wrapText="1"/>
    </xf>
    <xf numFmtId="0" fontId="4" fillId="0" borderId="46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/>
    </xf>
    <xf numFmtId="0" fontId="7" fillId="0" borderId="46" xfId="0" applyFont="1" applyFill="1" applyBorder="1" applyAlignment="1">
      <alignment horizontal="center" vertical="center" wrapText="1"/>
    </xf>
    <xf numFmtId="0" fontId="7" fillId="0" borderId="55" xfId="0" applyFont="1" applyFill="1" applyBorder="1" applyAlignment="1">
      <alignment horizontal="center" vertical="center" wrapText="1"/>
    </xf>
    <xf numFmtId="0" fontId="7" fillId="0" borderId="47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left" vertical="center" wrapText="1"/>
    </xf>
    <xf numFmtId="0" fontId="6" fillId="0" borderId="7" xfId="0" applyFont="1" applyFill="1" applyBorder="1" applyAlignment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6" fillId="0" borderId="7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 wrapText="1"/>
    </xf>
    <xf numFmtId="0" fontId="4" fillId="0" borderId="11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5" fillId="0" borderId="39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41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164" fontId="5" fillId="0" borderId="39" xfId="2" applyFont="1" applyFill="1" applyBorder="1" applyAlignment="1">
      <alignment horizontal="center" vertical="center" wrapText="1"/>
    </xf>
    <xf numFmtId="164" fontId="5" fillId="0" borderId="26" xfId="2" applyFont="1" applyFill="1" applyBorder="1" applyAlignment="1">
      <alignment horizontal="center" vertical="center" wrapText="1"/>
    </xf>
    <xf numFmtId="164" fontId="5" fillId="0" borderId="40" xfId="2" applyFont="1" applyFill="1" applyBorder="1" applyAlignment="1">
      <alignment horizontal="center" vertical="center" wrapText="1"/>
    </xf>
    <xf numFmtId="164" fontId="5" fillId="0" borderId="27" xfId="2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6" fillId="0" borderId="55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center" wrapText="1"/>
    </xf>
    <xf numFmtId="0" fontId="4" fillId="0" borderId="50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46" xfId="0" applyFont="1" applyFill="1" applyBorder="1" applyAlignment="1">
      <alignment horizontal="left" vertical="center" wrapText="1"/>
    </xf>
    <xf numFmtId="0" fontId="5" fillId="0" borderId="55" xfId="0" applyFont="1" applyFill="1" applyBorder="1" applyAlignment="1">
      <alignment horizontal="left" vertical="center" wrapText="1"/>
    </xf>
    <xf numFmtId="0" fontId="5" fillId="0" borderId="49" xfId="0" applyFont="1" applyFill="1" applyBorder="1" applyAlignment="1">
      <alignment horizontal="left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3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6" fillId="0" borderId="51" xfId="0" applyFont="1" applyFill="1" applyBorder="1" applyAlignment="1">
      <alignment horizontal="center" vertical="center" wrapText="1"/>
    </xf>
    <xf numFmtId="0" fontId="6" fillId="0" borderId="52" xfId="0" applyFont="1" applyFill="1" applyBorder="1" applyAlignment="1">
      <alignment horizontal="center" vertical="center" wrapText="1"/>
    </xf>
    <xf numFmtId="0" fontId="6" fillId="0" borderId="61" xfId="0" applyFont="1" applyFill="1" applyBorder="1" applyAlignment="1">
      <alignment horizontal="center" vertical="center" wrapText="1"/>
    </xf>
    <xf numFmtId="0" fontId="6" fillId="0" borderId="53" xfId="0" applyFont="1" applyFill="1" applyBorder="1" applyAlignment="1">
      <alignment horizontal="center" vertical="center" wrapText="1"/>
    </xf>
    <xf numFmtId="0" fontId="4" fillId="0" borderId="36" xfId="0" applyFont="1" applyFill="1" applyBorder="1" applyAlignment="1">
      <alignment horizontal="center" vertical="center" wrapText="1"/>
    </xf>
    <xf numFmtId="0" fontId="4" fillId="0" borderId="38" xfId="0" applyFont="1" applyFill="1" applyBorder="1" applyAlignment="1">
      <alignment horizontal="center" vertical="center" wrapText="1"/>
    </xf>
    <xf numFmtId="0" fontId="4" fillId="0" borderId="42" xfId="0" applyFont="1" applyFill="1" applyBorder="1" applyAlignment="1">
      <alignment horizontal="center" vertical="center" wrapText="1"/>
    </xf>
    <xf numFmtId="0" fontId="4" fillId="0" borderId="59" xfId="0" applyFont="1" applyFill="1" applyBorder="1" applyAlignment="1">
      <alignment horizontal="center" vertical="center" wrapText="1"/>
    </xf>
    <xf numFmtId="0" fontId="4" fillId="0" borderId="56" xfId="0" applyFont="1" applyFill="1" applyBorder="1" applyAlignment="1">
      <alignment horizontal="center" vertical="center" wrapText="1"/>
    </xf>
    <xf numFmtId="0" fontId="4" fillId="0" borderId="25" xfId="0" applyFont="1" applyFill="1" applyBorder="1" applyAlignment="1">
      <alignment horizontal="center" vertical="center" wrapText="1"/>
    </xf>
    <xf numFmtId="0" fontId="4" fillId="0" borderId="24" xfId="0" applyFont="1" applyFill="1" applyBorder="1" applyAlignment="1">
      <alignment horizontal="center" vertical="center" wrapText="1"/>
    </xf>
    <xf numFmtId="0" fontId="4" fillId="0" borderId="58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6" fillId="0" borderId="39" xfId="0" applyFont="1" applyFill="1" applyBorder="1" applyAlignment="1">
      <alignment vertical="center" wrapText="1"/>
    </xf>
    <xf numFmtId="0" fontId="6" fillId="0" borderId="26" xfId="0" applyFont="1" applyFill="1" applyBorder="1" applyAlignment="1">
      <alignment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5" fillId="0" borderId="34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vertical="center" wrapText="1"/>
    </xf>
    <xf numFmtId="0" fontId="6" fillId="0" borderId="10" xfId="0" applyFont="1" applyFill="1" applyBorder="1" applyAlignment="1">
      <alignment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7" fillId="0" borderId="0" xfId="0" applyFont="1" applyFill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0" fontId="6" fillId="0" borderId="34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left" vertical="center" wrapText="1"/>
    </xf>
    <xf numFmtId="0" fontId="4" fillId="0" borderId="5" xfId="0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horizontal="left" vertical="center" wrapText="1"/>
    </xf>
    <xf numFmtId="0" fontId="4" fillId="0" borderId="29" xfId="0" applyFont="1" applyFill="1" applyBorder="1" applyAlignment="1">
      <alignment horizontal="left" vertical="center" wrapText="1"/>
    </xf>
    <xf numFmtId="0" fontId="4" fillId="0" borderId="30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vertical="center" wrapText="1"/>
    </xf>
    <xf numFmtId="0" fontId="7" fillId="0" borderId="2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vertical="center" wrapText="1"/>
    </xf>
    <xf numFmtId="0" fontId="7" fillId="0" borderId="8" xfId="0" applyFont="1" applyFill="1" applyBorder="1" applyAlignment="1">
      <alignment vertical="center" wrapText="1"/>
    </xf>
    <xf numFmtId="0" fontId="7" fillId="0" borderId="22" xfId="0" applyFont="1" applyFill="1" applyBorder="1" applyAlignment="1">
      <alignment vertical="center" wrapText="1"/>
    </xf>
    <xf numFmtId="0" fontId="7" fillId="0" borderId="23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31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21" xfId="0" applyFont="1" applyFill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7" fillId="0" borderId="56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3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right" vertical="center" wrapText="1"/>
    </xf>
    <xf numFmtId="0" fontId="6" fillId="0" borderId="0" xfId="0" applyFont="1" applyFill="1" applyAlignment="1">
      <alignment horizontal="right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5" fillId="0" borderId="48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</cellXfs>
  <cellStyles count="3">
    <cellStyle name="Moneda [0]" xfId="2" builtinId="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1447800</xdr:colOff>
          <xdr:row>0</xdr:row>
          <xdr:rowOff>104775</xdr:rowOff>
        </xdr:from>
        <xdr:to>
          <xdr:col>1</xdr:col>
          <xdr:colOff>171450</xdr:colOff>
          <xdr:row>5</xdr:row>
          <xdr:rowOff>133350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xmlns="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>
    <pageSetUpPr fitToPage="1"/>
  </sheetPr>
  <dimension ref="A1:Y129"/>
  <sheetViews>
    <sheetView showGridLines="0" tabSelected="1" view="pageBreakPreview" zoomScaleNormal="100" zoomScaleSheetLayoutView="100" workbookViewId="0">
      <selection sqref="A1:B6"/>
    </sheetView>
  </sheetViews>
  <sheetFormatPr baseColWidth="10" defaultColWidth="11" defaultRowHeight="12.75" x14ac:dyDescent="0.25"/>
  <cols>
    <col min="1" max="1" width="31.25" style="12" bestFit="1" customWidth="1"/>
    <col min="2" max="2" width="23.375" style="12" bestFit="1" customWidth="1"/>
    <col min="3" max="3" width="20.625" style="12" customWidth="1"/>
    <col min="4" max="4" width="12.5" style="12" customWidth="1"/>
    <col min="5" max="5" width="9.875" style="12" customWidth="1"/>
    <col min="6" max="6" width="13.5" style="12" customWidth="1"/>
    <col min="7" max="7" width="10.625" style="12" customWidth="1"/>
    <col min="8" max="8" width="11.625" style="12" customWidth="1"/>
    <col min="9" max="9" width="13.5" style="12" customWidth="1"/>
    <col min="10" max="11" width="13.125" style="12" customWidth="1"/>
    <col min="12" max="12" width="27.875" style="12" bestFit="1" customWidth="1"/>
    <col min="13" max="13" width="33.125" style="12" bestFit="1" customWidth="1"/>
    <col min="14" max="14" width="12.625" style="12" customWidth="1"/>
    <col min="15" max="15" width="7.375" style="12" bestFit="1" customWidth="1"/>
    <col min="16" max="16" width="11" style="12"/>
    <col min="17" max="18" width="11" style="12" customWidth="1"/>
    <col min="19" max="19" width="19.625" style="12" customWidth="1"/>
    <col min="20" max="16384" width="11" style="12"/>
  </cols>
  <sheetData>
    <row r="1" spans="1:20" ht="12.75" customHeight="1" x14ac:dyDescent="0.25">
      <c r="A1" s="254"/>
      <c r="B1" s="255"/>
      <c r="C1" s="110"/>
      <c r="D1" s="111"/>
      <c r="E1" s="111"/>
      <c r="F1" s="111"/>
      <c r="G1" s="111"/>
      <c r="H1" s="111"/>
      <c r="I1" s="111"/>
      <c r="J1" s="111"/>
      <c r="K1" s="111"/>
      <c r="L1" s="111"/>
      <c r="M1" s="112"/>
      <c r="N1" s="260" t="s">
        <v>0</v>
      </c>
      <c r="O1" s="261"/>
      <c r="P1" s="261" t="s">
        <v>273</v>
      </c>
      <c r="Q1" s="261"/>
      <c r="R1" s="263"/>
      <c r="S1" s="264"/>
    </row>
    <row r="2" spans="1:20" ht="12.75" customHeight="1" x14ac:dyDescent="0.25">
      <c r="A2" s="256"/>
      <c r="B2" s="257"/>
      <c r="C2" s="113" t="s">
        <v>1</v>
      </c>
      <c r="D2" s="114"/>
      <c r="E2" s="114"/>
      <c r="F2" s="114"/>
      <c r="G2" s="114"/>
      <c r="H2" s="114"/>
      <c r="I2" s="114"/>
      <c r="J2" s="114"/>
      <c r="K2" s="114"/>
      <c r="L2" s="114"/>
      <c r="M2" s="115"/>
      <c r="N2" s="262"/>
      <c r="O2" s="252"/>
      <c r="P2" s="252"/>
      <c r="Q2" s="252"/>
      <c r="R2" s="178"/>
      <c r="S2" s="253"/>
    </row>
    <row r="3" spans="1:20" ht="12.75" customHeight="1" x14ac:dyDescent="0.25">
      <c r="A3" s="256"/>
      <c r="B3" s="257"/>
      <c r="C3" s="116" t="s">
        <v>272</v>
      </c>
      <c r="D3" s="117"/>
      <c r="E3" s="117"/>
      <c r="F3" s="117"/>
      <c r="G3" s="117"/>
      <c r="H3" s="117"/>
      <c r="I3" s="117"/>
      <c r="J3" s="117"/>
      <c r="K3" s="117"/>
      <c r="L3" s="117"/>
      <c r="M3" s="118"/>
      <c r="N3" s="268" t="s">
        <v>2</v>
      </c>
      <c r="O3" s="269"/>
      <c r="P3" s="272">
        <v>1</v>
      </c>
      <c r="Q3" s="273"/>
      <c r="R3" s="273"/>
      <c r="S3" s="274"/>
    </row>
    <row r="4" spans="1:20" ht="12.75" customHeight="1" x14ac:dyDescent="0.25">
      <c r="A4" s="256"/>
      <c r="B4" s="257"/>
      <c r="C4" s="119" t="s">
        <v>3</v>
      </c>
      <c r="D4" s="120"/>
      <c r="E4" s="120"/>
      <c r="F4" s="120"/>
      <c r="G4" s="120"/>
      <c r="H4" s="120"/>
      <c r="I4" s="120"/>
      <c r="J4" s="120"/>
      <c r="K4" s="120"/>
      <c r="L4" s="120"/>
      <c r="M4" s="121"/>
      <c r="N4" s="270"/>
      <c r="O4" s="271"/>
      <c r="P4" s="275"/>
      <c r="Q4" s="276"/>
      <c r="R4" s="276"/>
      <c r="S4" s="277"/>
    </row>
    <row r="5" spans="1:20" ht="12.75" customHeight="1" x14ac:dyDescent="0.25">
      <c r="A5" s="256"/>
      <c r="B5" s="257"/>
      <c r="C5" s="122" t="s">
        <v>4</v>
      </c>
      <c r="D5" s="123"/>
      <c r="E5" s="123"/>
      <c r="F5" s="123"/>
      <c r="G5" s="123"/>
      <c r="H5" s="123"/>
      <c r="I5" s="123"/>
      <c r="J5" s="123"/>
      <c r="K5" s="123"/>
      <c r="L5" s="123"/>
      <c r="M5" s="124"/>
      <c r="N5" s="268" t="s">
        <v>5</v>
      </c>
      <c r="O5" s="269"/>
      <c r="P5" s="272"/>
      <c r="Q5" s="273"/>
      <c r="R5" s="273"/>
      <c r="S5" s="274"/>
    </row>
    <row r="6" spans="1:20" ht="12.75" customHeight="1" thickBot="1" x14ac:dyDescent="0.3">
      <c r="A6" s="258"/>
      <c r="B6" s="259"/>
      <c r="C6" s="125"/>
      <c r="D6" s="126"/>
      <c r="E6" s="126"/>
      <c r="F6" s="126"/>
      <c r="G6" s="126"/>
      <c r="H6" s="126"/>
      <c r="I6" s="126"/>
      <c r="J6" s="126"/>
      <c r="K6" s="126"/>
      <c r="L6" s="126"/>
      <c r="M6" s="127"/>
      <c r="N6" s="278"/>
      <c r="O6" s="279"/>
      <c r="P6" s="280"/>
      <c r="Q6" s="281"/>
      <c r="R6" s="281"/>
      <c r="S6" s="282"/>
    </row>
    <row r="7" spans="1:20" x14ac:dyDescent="0.25">
      <c r="A7" s="13"/>
      <c r="S7" s="14"/>
    </row>
    <row r="8" spans="1:20" x14ac:dyDescent="0.25">
      <c r="A8" s="283" t="s">
        <v>6</v>
      </c>
      <c r="B8" s="284"/>
      <c r="C8" s="172"/>
      <c r="D8" s="172"/>
      <c r="E8" s="172"/>
      <c r="F8" s="284" t="s">
        <v>7</v>
      </c>
      <c r="G8" s="284"/>
      <c r="H8" s="284"/>
      <c r="I8" s="172"/>
      <c r="J8" s="172"/>
      <c r="K8" s="172"/>
      <c r="L8" s="172"/>
      <c r="M8" s="15"/>
      <c r="N8" s="284" t="s">
        <v>8</v>
      </c>
      <c r="O8" s="284"/>
      <c r="P8" s="172"/>
      <c r="Q8" s="172"/>
      <c r="R8" s="172"/>
      <c r="S8" s="285"/>
    </row>
    <row r="9" spans="1:20" x14ac:dyDescent="0.25">
      <c r="A9" s="13"/>
      <c r="S9" s="14"/>
    </row>
    <row r="10" spans="1:20" x14ac:dyDescent="0.25">
      <c r="A10" s="283" t="s">
        <v>9</v>
      </c>
      <c r="B10" s="284"/>
      <c r="C10" s="16"/>
      <c r="D10" s="17" t="s">
        <v>10</v>
      </c>
      <c r="E10" s="18"/>
      <c r="F10" s="18"/>
      <c r="G10" s="18"/>
      <c r="H10" s="123" t="s">
        <v>11</v>
      </c>
      <c r="I10" s="123"/>
      <c r="J10" s="123"/>
      <c r="K10" s="15"/>
      <c r="L10" s="172"/>
      <c r="M10" s="172"/>
      <c r="N10" s="172"/>
      <c r="O10" s="17" t="s">
        <v>10</v>
      </c>
      <c r="P10" s="18"/>
      <c r="Q10" s="18"/>
      <c r="R10" s="18"/>
      <c r="S10" s="19"/>
    </row>
    <row r="11" spans="1:20" x14ac:dyDescent="0.25">
      <c r="A11" s="20"/>
      <c r="B11" s="21"/>
      <c r="C11" s="21"/>
      <c r="D11" s="21"/>
      <c r="E11" s="17" t="s">
        <v>12</v>
      </c>
      <c r="F11" s="17" t="s">
        <v>13</v>
      </c>
      <c r="G11" s="17" t="s">
        <v>14</v>
      </c>
      <c r="H11" s="17"/>
      <c r="I11" s="17"/>
      <c r="J11" s="21"/>
      <c r="K11" s="21"/>
      <c r="L11" s="21"/>
      <c r="M11" s="21"/>
      <c r="N11" s="21"/>
      <c r="O11" s="21"/>
      <c r="P11" s="17" t="s">
        <v>12</v>
      </c>
      <c r="Q11" s="17" t="s">
        <v>13</v>
      </c>
      <c r="R11" s="17"/>
      <c r="S11" s="22" t="s">
        <v>14</v>
      </c>
    </row>
    <row r="12" spans="1:20" x14ac:dyDescent="0.25">
      <c r="A12" s="20"/>
      <c r="B12" s="21"/>
      <c r="C12" s="21"/>
      <c r="D12" s="21"/>
      <c r="E12" s="17"/>
      <c r="F12" s="17"/>
      <c r="G12" s="17"/>
      <c r="H12" s="17"/>
      <c r="I12" s="17"/>
      <c r="J12" s="21"/>
      <c r="K12" s="21"/>
      <c r="L12" s="21"/>
      <c r="M12" s="21"/>
      <c r="N12" s="21"/>
      <c r="O12" s="21"/>
      <c r="P12" s="17"/>
      <c r="Q12" s="17"/>
      <c r="R12" s="17"/>
      <c r="S12" s="22"/>
    </row>
    <row r="13" spans="1:20" ht="13.9" customHeight="1" x14ac:dyDescent="0.25">
      <c r="A13" s="21"/>
      <c r="B13" s="151" t="s">
        <v>15</v>
      </c>
      <c r="C13" s="151"/>
      <c r="D13" s="23"/>
      <c r="E13" s="23" t="s">
        <v>16</v>
      </c>
      <c r="F13" s="23"/>
      <c r="G13" s="23"/>
      <c r="H13" s="23"/>
      <c r="I13" s="23"/>
      <c r="J13" s="150" t="s">
        <v>17</v>
      </c>
      <c r="K13" s="150"/>
      <c r="L13" s="23"/>
      <c r="M13" s="23"/>
      <c r="N13" s="23"/>
      <c r="O13" s="21"/>
      <c r="P13" s="17"/>
      <c r="Q13" s="17"/>
      <c r="R13" s="17"/>
      <c r="S13" s="22"/>
    </row>
    <row r="14" spans="1:20" x14ac:dyDescent="0.25">
      <c r="A14" s="21"/>
      <c r="B14" s="24"/>
      <c r="C14" s="23"/>
      <c r="D14" s="23"/>
      <c r="E14" s="23"/>
      <c r="F14" s="25" t="s">
        <v>12</v>
      </c>
      <c r="G14" s="25" t="s">
        <v>13</v>
      </c>
      <c r="H14" s="25" t="s">
        <v>14</v>
      </c>
      <c r="I14" s="23"/>
      <c r="J14" s="23"/>
      <c r="K14" s="23"/>
      <c r="L14" s="25" t="s">
        <v>12</v>
      </c>
      <c r="M14" s="25" t="s">
        <v>13</v>
      </c>
      <c r="N14" s="25" t="s">
        <v>14</v>
      </c>
      <c r="O14" s="21"/>
      <c r="P14" s="17"/>
      <c r="Q14" s="17"/>
      <c r="R14" s="17"/>
      <c r="S14" s="22"/>
    </row>
    <row r="15" spans="1:20" ht="15.95" customHeight="1" x14ac:dyDescent="0.25">
      <c r="A15" s="26"/>
      <c r="B15" s="24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Q15" s="21"/>
      <c r="R15" s="21"/>
      <c r="S15" s="27"/>
      <c r="T15" s="21"/>
    </row>
    <row r="16" spans="1:20" ht="13.9" customHeight="1" x14ac:dyDescent="0.25">
      <c r="A16" s="15"/>
      <c r="B16" s="151" t="s">
        <v>18</v>
      </c>
      <c r="C16" s="152"/>
      <c r="D16" s="28"/>
      <c r="E16" s="23" t="s">
        <v>16</v>
      </c>
      <c r="F16" s="23"/>
      <c r="G16" s="23"/>
      <c r="H16" s="23"/>
      <c r="I16" s="23"/>
      <c r="J16" s="150" t="s">
        <v>17</v>
      </c>
      <c r="K16" s="150"/>
      <c r="L16" s="23"/>
      <c r="M16" s="23"/>
      <c r="N16" s="23"/>
      <c r="O16" s="21"/>
      <c r="Q16" s="21"/>
      <c r="R16" s="21"/>
      <c r="S16" s="27"/>
      <c r="T16" s="21"/>
    </row>
    <row r="17" spans="1:24" ht="13.5" thickBot="1" x14ac:dyDescent="0.3">
      <c r="A17" s="29"/>
      <c r="B17" s="24"/>
      <c r="C17" s="23"/>
      <c r="D17" s="23"/>
      <c r="E17" s="23"/>
      <c r="F17" s="25" t="s">
        <v>12</v>
      </c>
      <c r="G17" s="25" t="s">
        <v>13</v>
      </c>
      <c r="H17" s="25" t="s">
        <v>14</v>
      </c>
      <c r="I17" s="23"/>
      <c r="J17" s="23"/>
      <c r="K17" s="23"/>
      <c r="L17" s="25" t="s">
        <v>12</v>
      </c>
      <c r="M17" s="25" t="s">
        <v>13</v>
      </c>
      <c r="N17" s="25" t="s">
        <v>14</v>
      </c>
      <c r="O17" s="30"/>
      <c r="S17" s="14"/>
    </row>
    <row r="18" spans="1:24" x14ac:dyDescent="0.25">
      <c r="A18" s="265" t="s">
        <v>19</v>
      </c>
      <c r="B18" s="266"/>
      <c r="C18" s="267"/>
      <c r="D18" s="31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3"/>
      <c r="T18" s="21"/>
      <c r="U18" s="21"/>
      <c r="V18" s="21"/>
      <c r="W18" s="21"/>
      <c r="X18" s="21"/>
    </row>
    <row r="19" spans="1:24" x14ac:dyDescent="0.25">
      <c r="A19" s="251" t="s">
        <v>8</v>
      </c>
      <c r="B19" s="190"/>
      <c r="C19" s="190" t="s">
        <v>20</v>
      </c>
      <c r="D19" s="190"/>
      <c r="E19" s="190"/>
      <c r="F19" s="190" t="s">
        <v>21</v>
      </c>
      <c r="G19" s="190"/>
      <c r="H19" s="34"/>
      <c r="I19" s="34"/>
      <c r="J19" s="34"/>
      <c r="K19" s="34"/>
      <c r="L19" s="190" t="s">
        <v>22</v>
      </c>
      <c r="M19" s="190"/>
      <c r="N19" s="190"/>
      <c r="O19" s="190"/>
      <c r="P19" s="190"/>
      <c r="Q19" s="252"/>
      <c r="R19" s="178"/>
      <c r="S19" s="253"/>
      <c r="T19" s="35"/>
      <c r="U19" s="35"/>
      <c r="V19" s="35"/>
      <c r="W19" s="239"/>
      <c r="X19" s="239"/>
    </row>
    <row r="20" spans="1:24" x14ac:dyDescent="0.25">
      <c r="A20" s="251"/>
      <c r="B20" s="190"/>
      <c r="C20" s="190"/>
      <c r="D20" s="190"/>
      <c r="E20" s="190"/>
      <c r="F20" s="190"/>
      <c r="G20" s="190"/>
      <c r="H20" s="36" t="s">
        <v>12</v>
      </c>
      <c r="I20" s="36" t="s">
        <v>13</v>
      </c>
      <c r="J20" s="36" t="s">
        <v>14</v>
      </c>
      <c r="K20" s="36"/>
      <c r="L20" s="190"/>
      <c r="M20" s="190"/>
      <c r="N20" s="190"/>
      <c r="O20" s="190"/>
      <c r="P20" s="190"/>
      <c r="Q20" s="252"/>
      <c r="R20" s="178"/>
      <c r="S20" s="253"/>
      <c r="T20" s="35"/>
      <c r="U20" s="35"/>
      <c r="V20" s="35"/>
      <c r="W20" s="239"/>
      <c r="X20" s="239"/>
    </row>
    <row r="21" spans="1:24" ht="13.5" thickBot="1" x14ac:dyDescent="0.3">
      <c r="A21" s="240"/>
      <c r="B21" s="241"/>
      <c r="C21" s="241"/>
      <c r="D21" s="241"/>
      <c r="E21" s="241"/>
      <c r="F21" s="241"/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2"/>
      <c r="T21" s="35"/>
      <c r="U21" s="35"/>
      <c r="V21" s="35"/>
      <c r="W21" s="35"/>
      <c r="X21" s="35"/>
    </row>
    <row r="22" spans="1:24" ht="13.5" thickBot="1" x14ac:dyDescent="0.3">
      <c r="A22" s="140" t="s">
        <v>23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2"/>
      <c r="T22" s="35"/>
      <c r="U22" s="35"/>
      <c r="V22" s="35"/>
      <c r="W22" s="35"/>
      <c r="X22" s="35"/>
    </row>
    <row r="23" spans="1:24" ht="13.5" thickBot="1" x14ac:dyDescent="0.3">
      <c r="A23" s="243"/>
      <c r="B23" s="244"/>
      <c r="C23" s="244"/>
      <c r="D23" s="244"/>
      <c r="E23" s="244"/>
      <c r="F23" s="244"/>
      <c r="G23" s="244"/>
      <c r="H23" s="244"/>
      <c r="I23" s="244"/>
      <c r="J23" s="244"/>
      <c r="K23" s="244"/>
      <c r="L23" s="244"/>
      <c r="M23" s="244"/>
      <c r="N23" s="244"/>
      <c r="O23" s="244"/>
      <c r="P23" s="244"/>
      <c r="Q23" s="244"/>
      <c r="R23" s="244"/>
      <c r="S23" s="245"/>
    </row>
    <row r="24" spans="1:24" x14ac:dyDescent="0.25">
      <c r="A24" s="246" t="s">
        <v>24</v>
      </c>
      <c r="B24" s="247"/>
      <c r="C24" s="247"/>
      <c r="D24" s="247"/>
      <c r="E24" s="247"/>
      <c r="F24" s="247"/>
      <c r="G24" s="247" t="s">
        <v>25</v>
      </c>
      <c r="H24" s="247"/>
      <c r="I24" s="247"/>
      <c r="J24" s="248"/>
      <c r="K24" s="249"/>
      <c r="L24" s="250"/>
      <c r="M24" s="37"/>
      <c r="N24" s="247" t="s">
        <v>26</v>
      </c>
      <c r="O24" s="247"/>
      <c r="P24" s="247"/>
      <c r="Q24" s="215"/>
      <c r="R24" s="216"/>
      <c r="S24" s="217"/>
    </row>
    <row r="25" spans="1:24" x14ac:dyDescent="0.25">
      <c r="A25" s="236" t="s">
        <v>27</v>
      </c>
      <c r="B25" s="237"/>
      <c r="C25" s="237"/>
      <c r="D25" s="190"/>
      <c r="E25" s="190"/>
      <c r="F25" s="190"/>
      <c r="G25" s="237" t="s">
        <v>28</v>
      </c>
      <c r="H25" s="237"/>
      <c r="I25" s="237"/>
      <c r="J25" s="133"/>
      <c r="K25" s="134"/>
      <c r="L25" s="139"/>
      <c r="M25" s="38"/>
      <c r="N25" s="238" t="s">
        <v>29</v>
      </c>
      <c r="O25" s="238"/>
      <c r="P25" s="238"/>
      <c r="Q25" s="132"/>
      <c r="R25" s="133"/>
      <c r="S25" s="196"/>
    </row>
    <row r="26" spans="1:24" ht="44.1" customHeight="1" x14ac:dyDescent="0.25">
      <c r="A26" s="236" t="s">
        <v>30</v>
      </c>
      <c r="B26" s="237"/>
      <c r="C26" s="237"/>
      <c r="D26" s="190"/>
      <c r="E26" s="190"/>
      <c r="F26" s="190"/>
      <c r="G26" s="237" t="s">
        <v>31</v>
      </c>
      <c r="H26" s="237"/>
      <c r="I26" s="237"/>
      <c r="J26" s="133"/>
      <c r="K26" s="134"/>
      <c r="L26" s="139"/>
      <c r="M26" s="38"/>
      <c r="N26" s="238" t="s">
        <v>32</v>
      </c>
      <c r="O26" s="238"/>
      <c r="P26" s="238"/>
      <c r="Q26" s="132"/>
      <c r="R26" s="133"/>
      <c r="S26" s="196"/>
    </row>
    <row r="27" spans="1:24" ht="15.95" customHeight="1" x14ac:dyDescent="0.25">
      <c r="A27" s="236" t="s">
        <v>31</v>
      </c>
      <c r="B27" s="237"/>
      <c r="C27" s="237"/>
      <c r="D27" s="190"/>
      <c r="E27" s="190"/>
      <c r="F27" s="190"/>
      <c r="G27" s="237" t="s">
        <v>33</v>
      </c>
      <c r="H27" s="237"/>
      <c r="I27" s="237"/>
      <c r="J27" s="133"/>
      <c r="K27" s="134"/>
      <c r="L27" s="139"/>
      <c r="M27" s="38"/>
      <c r="N27" s="237" t="s">
        <v>34</v>
      </c>
      <c r="O27" s="237"/>
      <c r="P27" s="237"/>
      <c r="Q27" s="132"/>
      <c r="R27" s="133"/>
      <c r="S27" s="196"/>
    </row>
    <row r="28" spans="1:24" x14ac:dyDescent="0.25">
      <c r="A28" s="236" t="s">
        <v>33</v>
      </c>
      <c r="B28" s="237"/>
      <c r="C28" s="237"/>
      <c r="D28" s="190"/>
      <c r="E28" s="190"/>
      <c r="F28" s="190"/>
      <c r="G28" s="237" t="s">
        <v>35</v>
      </c>
      <c r="H28" s="237"/>
      <c r="I28" s="237"/>
      <c r="J28" s="133"/>
      <c r="K28" s="134"/>
      <c r="L28" s="139"/>
      <c r="M28" s="38"/>
      <c r="N28" s="238" t="s">
        <v>36</v>
      </c>
      <c r="O28" s="238"/>
      <c r="P28" s="238"/>
      <c r="Q28" s="132"/>
      <c r="R28" s="133"/>
      <c r="S28" s="196"/>
    </row>
    <row r="29" spans="1:24" ht="15.95" customHeight="1" x14ac:dyDescent="0.25">
      <c r="A29" s="236" t="s">
        <v>35</v>
      </c>
      <c r="B29" s="237"/>
      <c r="C29" s="237"/>
      <c r="D29" s="190"/>
      <c r="E29" s="190"/>
      <c r="F29" s="190"/>
      <c r="G29" s="237" t="s">
        <v>33</v>
      </c>
      <c r="H29" s="237"/>
      <c r="I29" s="237"/>
      <c r="J29" s="133"/>
      <c r="K29" s="134"/>
      <c r="L29" s="139"/>
      <c r="M29" s="38"/>
      <c r="N29" s="238" t="s">
        <v>37</v>
      </c>
      <c r="O29" s="238"/>
      <c r="P29" s="238"/>
      <c r="Q29" s="132"/>
      <c r="R29" s="133"/>
      <c r="S29" s="196"/>
    </row>
    <row r="30" spans="1:24" x14ac:dyDescent="0.25">
      <c r="A30" s="236" t="s">
        <v>33</v>
      </c>
      <c r="B30" s="237"/>
      <c r="C30" s="237"/>
      <c r="D30" s="190"/>
      <c r="E30" s="190"/>
      <c r="F30" s="190"/>
      <c r="G30" s="237" t="s">
        <v>38</v>
      </c>
      <c r="H30" s="237"/>
      <c r="I30" s="237"/>
      <c r="J30" s="133"/>
      <c r="K30" s="134"/>
      <c r="L30" s="139"/>
      <c r="M30" s="38"/>
      <c r="N30" s="238" t="s">
        <v>32</v>
      </c>
      <c r="O30" s="238"/>
      <c r="P30" s="238"/>
      <c r="Q30" s="132"/>
      <c r="R30" s="133"/>
      <c r="S30" s="196"/>
    </row>
    <row r="31" spans="1:24" x14ac:dyDescent="0.25">
      <c r="A31" s="236" t="s">
        <v>38</v>
      </c>
      <c r="B31" s="237"/>
      <c r="C31" s="237"/>
      <c r="D31" s="190"/>
      <c r="E31" s="190"/>
      <c r="F31" s="190"/>
      <c r="G31" s="237" t="s">
        <v>39</v>
      </c>
      <c r="H31" s="237"/>
      <c r="I31" s="237"/>
      <c r="J31" s="133"/>
      <c r="K31" s="134"/>
      <c r="L31" s="139"/>
      <c r="M31" s="38"/>
      <c r="N31" s="237" t="s">
        <v>34</v>
      </c>
      <c r="O31" s="237"/>
      <c r="P31" s="237"/>
      <c r="Q31" s="132"/>
      <c r="R31" s="133"/>
      <c r="S31" s="196"/>
    </row>
    <row r="32" spans="1:24" x14ac:dyDescent="0.25">
      <c r="A32" s="236" t="s">
        <v>39</v>
      </c>
      <c r="B32" s="237"/>
      <c r="C32" s="237"/>
      <c r="D32" s="190"/>
      <c r="E32" s="190"/>
      <c r="F32" s="190"/>
      <c r="G32" s="237" t="s">
        <v>40</v>
      </c>
      <c r="H32" s="237"/>
      <c r="I32" s="237"/>
      <c r="J32" s="133"/>
      <c r="K32" s="134"/>
      <c r="L32" s="139"/>
      <c r="M32" s="38"/>
      <c r="N32" s="238" t="s">
        <v>36</v>
      </c>
      <c r="O32" s="238"/>
      <c r="P32" s="238"/>
      <c r="Q32" s="132"/>
      <c r="R32" s="133"/>
      <c r="S32" s="196"/>
    </row>
    <row r="33" spans="1:24" x14ac:dyDescent="0.25">
      <c r="A33" s="236" t="s">
        <v>40</v>
      </c>
      <c r="B33" s="237"/>
      <c r="C33" s="237"/>
      <c r="D33" s="190"/>
      <c r="E33" s="190"/>
      <c r="F33" s="190"/>
      <c r="G33" s="237" t="s">
        <v>41</v>
      </c>
      <c r="H33" s="237"/>
      <c r="I33" s="237"/>
      <c r="J33" s="133"/>
      <c r="K33" s="134"/>
      <c r="L33" s="139"/>
      <c r="M33" s="38"/>
      <c r="N33" s="238" t="s">
        <v>42</v>
      </c>
      <c r="O33" s="238"/>
      <c r="P33" s="238"/>
      <c r="Q33" s="132"/>
      <c r="R33" s="133"/>
      <c r="S33" s="196"/>
    </row>
    <row r="34" spans="1:24" x14ac:dyDescent="0.25">
      <c r="A34" s="236" t="s">
        <v>41</v>
      </c>
      <c r="B34" s="237"/>
      <c r="C34" s="237"/>
      <c r="D34" s="190"/>
      <c r="E34" s="190"/>
      <c r="F34" s="190"/>
      <c r="G34" s="237" t="s">
        <v>43</v>
      </c>
      <c r="H34" s="237"/>
      <c r="I34" s="237"/>
      <c r="J34" s="133"/>
      <c r="K34" s="134"/>
      <c r="L34" s="139"/>
      <c r="M34" s="38"/>
      <c r="N34" s="238" t="s">
        <v>32</v>
      </c>
      <c r="O34" s="238"/>
      <c r="P34" s="238"/>
      <c r="Q34" s="132"/>
      <c r="R34" s="133"/>
      <c r="S34" s="196"/>
    </row>
    <row r="35" spans="1:24" ht="30" customHeight="1" x14ac:dyDescent="0.25">
      <c r="A35" s="236" t="s">
        <v>43</v>
      </c>
      <c r="B35" s="237"/>
      <c r="C35" s="237"/>
      <c r="D35" s="190"/>
      <c r="E35" s="190"/>
      <c r="F35" s="190"/>
      <c r="G35" s="237" t="s">
        <v>44</v>
      </c>
      <c r="H35" s="237"/>
      <c r="I35" s="237"/>
      <c r="J35" s="133"/>
      <c r="K35" s="134"/>
      <c r="L35" s="139"/>
      <c r="M35" s="38"/>
      <c r="N35" s="237" t="s">
        <v>34</v>
      </c>
      <c r="O35" s="237"/>
      <c r="P35" s="237"/>
      <c r="Q35" s="132"/>
      <c r="R35" s="133"/>
      <c r="S35" s="196"/>
    </row>
    <row r="36" spans="1:24" x14ac:dyDescent="0.25">
      <c r="A36" s="236" t="s">
        <v>44</v>
      </c>
      <c r="B36" s="237"/>
      <c r="C36" s="237"/>
      <c r="D36" s="190"/>
      <c r="E36" s="190"/>
      <c r="F36" s="190"/>
      <c r="G36" s="237" t="s">
        <v>45</v>
      </c>
      <c r="H36" s="237"/>
      <c r="I36" s="237"/>
      <c r="J36" s="133"/>
      <c r="K36" s="134"/>
      <c r="L36" s="139"/>
      <c r="M36" s="38"/>
      <c r="N36" s="238" t="s">
        <v>36</v>
      </c>
      <c r="O36" s="238"/>
      <c r="P36" s="238"/>
      <c r="Q36" s="132"/>
      <c r="R36" s="133"/>
      <c r="S36" s="196"/>
    </row>
    <row r="37" spans="1:24" ht="33" customHeight="1" x14ac:dyDescent="0.25">
      <c r="A37" s="236" t="s">
        <v>45</v>
      </c>
      <c r="B37" s="237"/>
      <c r="C37" s="237"/>
      <c r="D37" s="190"/>
      <c r="E37" s="190"/>
      <c r="F37" s="190"/>
      <c r="G37" s="237" t="s">
        <v>46</v>
      </c>
      <c r="H37" s="237"/>
      <c r="I37" s="237"/>
      <c r="J37" s="133"/>
      <c r="K37" s="134"/>
      <c r="L37" s="139"/>
      <c r="M37" s="38"/>
      <c r="N37" s="238" t="s">
        <v>47</v>
      </c>
      <c r="O37" s="238"/>
      <c r="P37" s="238"/>
      <c r="Q37" s="132"/>
      <c r="R37" s="133"/>
      <c r="S37" s="196"/>
    </row>
    <row r="38" spans="1:24" x14ac:dyDescent="0.25">
      <c r="A38" s="236" t="s">
        <v>46</v>
      </c>
      <c r="B38" s="237"/>
      <c r="C38" s="237"/>
      <c r="D38" s="190"/>
      <c r="E38" s="190"/>
      <c r="F38" s="190"/>
      <c r="G38" s="237" t="s">
        <v>34</v>
      </c>
      <c r="H38" s="237"/>
      <c r="I38" s="237"/>
      <c r="J38" s="133"/>
      <c r="K38" s="134"/>
      <c r="L38" s="139"/>
      <c r="M38" s="38"/>
      <c r="N38" s="238" t="s">
        <v>32</v>
      </c>
      <c r="O38" s="238"/>
      <c r="P38" s="238"/>
      <c r="Q38" s="132"/>
      <c r="R38" s="133"/>
      <c r="S38" s="196"/>
    </row>
    <row r="39" spans="1:24" ht="13.5" thickBot="1" x14ac:dyDescent="0.3">
      <c r="A39" s="232" t="s">
        <v>34</v>
      </c>
      <c r="B39" s="233"/>
      <c r="C39" s="233"/>
      <c r="D39" s="234"/>
      <c r="E39" s="234"/>
      <c r="F39" s="234"/>
      <c r="G39" s="200"/>
      <c r="H39" s="235"/>
      <c r="I39" s="199"/>
      <c r="J39" s="200"/>
      <c r="K39" s="235"/>
      <c r="L39" s="199"/>
      <c r="M39" s="39"/>
      <c r="N39" s="233" t="s">
        <v>34</v>
      </c>
      <c r="O39" s="233"/>
      <c r="P39" s="233"/>
      <c r="Q39" s="153"/>
      <c r="R39" s="200"/>
      <c r="S39" s="198"/>
    </row>
    <row r="40" spans="1:24" ht="13.5" thickBot="1" x14ac:dyDescent="0.3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</row>
    <row r="41" spans="1:24" ht="13.5" thickBot="1" x14ac:dyDescent="0.3">
      <c r="A41" s="140" t="s">
        <v>48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  <c r="T41" s="21"/>
      <c r="U41" s="21"/>
      <c r="V41" s="21"/>
      <c r="W41" s="21"/>
      <c r="X41" s="21"/>
    </row>
    <row r="42" spans="1:24" ht="13.5" thickBot="1" x14ac:dyDescent="0.3">
      <c r="A42" s="140" t="s">
        <v>49</v>
      </c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  <c r="T42" s="35"/>
      <c r="U42" s="35"/>
      <c r="V42" s="35"/>
      <c r="W42" s="35"/>
      <c r="X42" s="35"/>
    </row>
    <row r="43" spans="1:24" ht="35.1" customHeight="1" thickBot="1" x14ac:dyDescent="0.3">
      <c r="A43" s="154" t="s">
        <v>32</v>
      </c>
      <c r="B43" s="155"/>
      <c r="C43" s="40" t="s">
        <v>50</v>
      </c>
      <c r="D43" s="155" t="s">
        <v>51</v>
      </c>
      <c r="E43" s="155"/>
      <c r="F43" s="155" t="s">
        <v>52</v>
      </c>
      <c r="G43" s="155"/>
      <c r="H43" s="40" t="s">
        <v>53</v>
      </c>
      <c r="I43" s="208" t="s">
        <v>54</v>
      </c>
      <c r="J43" s="207"/>
      <c r="K43" s="41"/>
      <c r="L43" s="40" t="s">
        <v>55</v>
      </c>
      <c r="M43" s="42"/>
      <c r="N43" s="229" t="s">
        <v>56</v>
      </c>
      <c r="O43" s="207"/>
      <c r="P43" s="208" t="s">
        <v>57</v>
      </c>
      <c r="Q43" s="207"/>
      <c r="R43" s="43"/>
      <c r="S43" s="44" t="s">
        <v>36</v>
      </c>
    </row>
    <row r="44" spans="1:24" x14ac:dyDescent="0.25">
      <c r="A44" s="231"/>
      <c r="B44" s="230"/>
      <c r="C44" s="45"/>
      <c r="D44" s="146"/>
      <c r="E44" s="230"/>
      <c r="F44" s="146"/>
      <c r="G44" s="230"/>
      <c r="H44" s="45"/>
      <c r="I44" s="146"/>
      <c r="J44" s="230"/>
      <c r="K44" s="46"/>
      <c r="L44" s="47"/>
      <c r="M44" s="48"/>
      <c r="N44" s="146"/>
      <c r="O44" s="230"/>
      <c r="P44" s="146"/>
      <c r="Q44" s="230"/>
      <c r="R44" s="49"/>
      <c r="S44" s="50"/>
    </row>
    <row r="45" spans="1:24" ht="13.5" thickBot="1" x14ac:dyDescent="0.3">
      <c r="A45" s="51"/>
      <c r="B45" s="52"/>
      <c r="C45" s="53"/>
      <c r="D45" s="54"/>
      <c r="E45" s="52"/>
      <c r="F45" s="55"/>
      <c r="G45" s="56"/>
      <c r="H45" s="55"/>
      <c r="I45" s="55"/>
      <c r="J45" s="56"/>
      <c r="K45" s="56"/>
      <c r="L45" s="57"/>
      <c r="M45" s="55"/>
      <c r="N45" s="55"/>
      <c r="O45" s="56"/>
      <c r="P45" s="58"/>
      <c r="Q45" s="56"/>
      <c r="R45" s="58"/>
      <c r="S45" s="59"/>
    </row>
    <row r="46" spans="1:24" ht="13.5" thickBot="1" x14ac:dyDescent="0.3">
      <c r="A46" s="60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61"/>
    </row>
    <row r="47" spans="1:24" ht="13.5" thickBot="1" x14ac:dyDescent="0.3">
      <c r="A47" s="140" t="s">
        <v>58</v>
      </c>
      <c r="B47" s="141"/>
      <c r="C47" s="141"/>
      <c r="D47" s="141"/>
      <c r="E47" s="141"/>
      <c r="F47" s="141"/>
      <c r="G47" s="141"/>
      <c r="H47" s="141"/>
      <c r="I47" s="141"/>
      <c r="J47" s="141"/>
      <c r="K47" s="141"/>
      <c r="L47" s="141"/>
      <c r="M47" s="141"/>
      <c r="N47" s="141"/>
      <c r="O47" s="141"/>
      <c r="P47" s="141"/>
      <c r="Q47" s="141"/>
      <c r="R47" s="141"/>
      <c r="S47" s="142"/>
    </row>
    <row r="48" spans="1:24" s="63" customFormat="1" ht="35.1" customHeight="1" thickBot="1" x14ac:dyDescent="0.3">
      <c r="A48" s="224" t="s">
        <v>32</v>
      </c>
      <c r="B48" s="225"/>
      <c r="C48" s="53" t="s">
        <v>50</v>
      </c>
      <c r="D48" s="225" t="s">
        <v>51</v>
      </c>
      <c r="E48" s="225"/>
      <c r="F48" s="225" t="s">
        <v>52</v>
      </c>
      <c r="G48" s="225"/>
      <c r="H48" s="54" t="s">
        <v>53</v>
      </c>
      <c r="I48" s="226" t="s">
        <v>59</v>
      </c>
      <c r="J48" s="227"/>
      <c r="K48" s="52"/>
      <c r="L48" s="53" t="s">
        <v>55</v>
      </c>
      <c r="M48" s="54"/>
      <c r="N48" s="226" t="s">
        <v>56</v>
      </c>
      <c r="O48" s="227"/>
      <c r="P48" s="228" t="s">
        <v>57</v>
      </c>
      <c r="Q48" s="227"/>
      <c r="R48" s="52"/>
      <c r="S48" s="62" t="s">
        <v>36</v>
      </c>
    </row>
    <row r="49" spans="1:19" x14ac:dyDescent="0.25">
      <c r="A49" s="231"/>
      <c r="B49" s="230"/>
      <c r="C49" s="64"/>
      <c r="D49" s="146"/>
      <c r="E49" s="230"/>
      <c r="F49" s="146"/>
      <c r="G49" s="230"/>
      <c r="H49" s="45"/>
      <c r="I49" s="146"/>
      <c r="J49" s="230"/>
      <c r="K49" s="65"/>
      <c r="L49" s="66"/>
      <c r="M49" s="67"/>
      <c r="N49" s="146"/>
      <c r="O49" s="230"/>
      <c r="P49" s="146"/>
      <c r="Q49" s="230"/>
      <c r="R49" s="68"/>
      <c r="S49" s="69"/>
    </row>
    <row r="50" spans="1:19" x14ac:dyDescent="0.25">
      <c r="A50" s="286"/>
      <c r="B50" s="139"/>
      <c r="C50" s="70"/>
      <c r="D50" s="133"/>
      <c r="E50" s="139"/>
      <c r="F50" s="133"/>
      <c r="G50" s="139"/>
      <c r="H50" s="70"/>
      <c r="I50" s="133"/>
      <c r="J50" s="139"/>
      <c r="K50" s="71"/>
      <c r="L50" s="72"/>
      <c r="M50" s="67"/>
      <c r="N50" s="287"/>
      <c r="O50" s="288"/>
      <c r="P50" s="133"/>
      <c r="Q50" s="139"/>
      <c r="R50" s="73"/>
      <c r="S50" s="74"/>
    </row>
    <row r="51" spans="1:19" ht="13.5" thickBot="1" x14ac:dyDescent="0.3">
      <c r="A51" s="289"/>
      <c r="B51" s="199"/>
      <c r="C51" s="75"/>
      <c r="D51" s="200"/>
      <c r="E51" s="199"/>
      <c r="F51" s="200"/>
      <c r="G51" s="199"/>
      <c r="H51" s="75"/>
      <c r="I51" s="200"/>
      <c r="J51" s="199"/>
      <c r="K51" s="76"/>
      <c r="L51" s="77"/>
      <c r="M51" s="78"/>
      <c r="N51" s="200"/>
      <c r="O51" s="199"/>
      <c r="P51" s="200"/>
      <c r="Q51" s="199"/>
      <c r="R51" s="79"/>
      <c r="S51" s="80"/>
    </row>
    <row r="52" spans="1:19" ht="13.5" thickBot="1" x14ac:dyDescent="0.3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</row>
    <row r="53" spans="1:19" ht="13.5" customHeight="1" thickBot="1" x14ac:dyDescent="0.3">
      <c r="A53" s="140" t="s">
        <v>60</v>
      </c>
      <c r="B53" s="141"/>
      <c r="C53" s="141"/>
      <c r="D53" s="141"/>
      <c r="E53" s="141"/>
      <c r="F53" s="141"/>
      <c r="G53" s="141"/>
      <c r="H53" s="141"/>
      <c r="I53" s="141"/>
      <c r="J53" s="141"/>
      <c r="K53" s="141"/>
      <c r="L53" s="141"/>
      <c r="M53" s="141"/>
      <c r="N53" s="141"/>
      <c r="O53" s="141"/>
      <c r="P53" s="141"/>
      <c r="Q53" s="141"/>
      <c r="R53" s="141"/>
      <c r="S53" s="142"/>
    </row>
    <row r="54" spans="1:19" ht="12.75" customHeight="1" x14ac:dyDescent="0.25">
      <c r="A54" s="143" t="s">
        <v>61</v>
      </c>
      <c r="B54" s="144"/>
      <c r="C54" s="144"/>
      <c r="D54" s="145"/>
      <c r="E54" s="146"/>
      <c r="F54" s="147"/>
      <c r="G54" s="147"/>
      <c r="H54" s="147"/>
      <c r="I54" s="147"/>
      <c r="J54" s="147"/>
      <c r="K54" s="147"/>
      <c r="L54" s="147"/>
      <c r="M54" s="147"/>
      <c r="N54" s="147"/>
      <c r="O54" s="147"/>
      <c r="P54" s="147"/>
      <c r="Q54" s="147"/>
      <c r="R54" s="147"/>
      <c r="S54" s="148"/>
    </row>
    <row r="55" spans="1:19" ht="12.75" customHeight="1" x14ac:dyDescent="0.25">
      <c r="A55" s="149" t="s">
        <v>62</v>
      </c>
      <c r="B55" s="137"/>
      <c r="C55" s="137"/>
      <c r="D55" s="138"/>
      <c r="E55" s="133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5"/>
    </row>
    <row r="56" spans="1:19" ht="12.75" customHeight="1" x14ac:dyDescent="0.25">
      <c r="A56" s="149" t="s">
        <v>63</v>
      </c>
      <c r="B56" s="137"/>
      <c r="C56" s="137"/>
      <c r="D56" s="138"/>
      <c r="E56" s="133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5"/>
    </row>
    <row r="57" spans="1:19" ht="12.75" customHeight="1" x14ac:dyDescent="0.25">
      <c r="A57" s="149" t="s">
        <v>64</v>
      </c>
      <c r="B57" s="137"/>
      <c r="C57" s="137"/>
      <c r="D57" s="138"/>
      <c r="E57" s="133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5"/>
    </row>
    <row r="58" spans="1:19" ht="12.75" customHeight="1" x14ac:dyDescent="0.25">
      <c r="A58" s="149" t="s">
        <v>65</v>
      </c>
      <c r="B58" s="137"/>
      <c r="C58" s="137"/>
      <c r="D58" s="138"/>
      <c r="E58" s="133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5"/>
    </row>
    <row r="59" spans="1:19" ht="12.75" customHeight="1" x14ac:dyDescent="0.25">
      <c r="A59" s="149" t="s">
        <v>66</v>
      </c>
      <c r="B59" s="137"/>
      <c r="C59" s="137"/>
      <c r="D59" s="138"/>
      <c r="E59" s="211"/>
      <c r="F59" s="212"/>
      <c r="G59" s="212"/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3"/>
    </row>
    <row r="60" spans="1:19" ht="12.75" customHeight="1" x14ac:dyDescent="0.25">
      <c r="A60" s="136" t="s">
        <v>67</v>
      </c>
      <c r="B60" s="137"/>
      <c r="C60" s="137"/>
      <c r="D60" s="138"/>
      <c r="E60" s="133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9"/>
    </row>
    <row r="61" spans="1:19" ht="12.75" customHeight="1" x14ac:dyDescent="0.25">
      <c r="A61" s="136" t="s">
        <v>68</v>
      </c>
      <c r="B61" s="137"/>
      <c r="C61" s="137"/>
      <c r="D61" s="138"/>
      <c r="E61" s="133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9"/>
    </row>
    <row r="62" spans="1:19" ht="13.5" thickBot="1" x14ac:dyDescent="0.3"/>
    <row r="63" spans="1:19" ht="13.5" thickBot="1" x14ac:dyDescent="0.3">
      <c r="A63" s="128" t="s">
        <v>69</v>
      </c>
      <c r="B63" s="129"/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30"/>
      <c r="S63" s="131"/>
    </row>
    <row r="64" spans="1:19" ht="46.5" customHeight="1" thickBot="1" x14ac:dyDescent="0.3">
      <c r="A64" s="154" t="s">
        <v>70</v>
      </c>
      <c r="B64" s="155"/>
      <c r="C64" s="154" t="s">
        <v>71</v>
      </c>
      <c r="D64" s="155"/>
      <c r="E64" s="154" t="s">
        <v>72</v>
      </c>
      <c r="F64" s="155"/>
      <c r="G64" s="154" t="s">
        <v>73</v>
      </c>
      <c r="H64" s="155"/>
      <c r="I64" s="154" t="s">
        <v>74</v>
      </c>
      <c r="J64" s="155"/>
      <c r="K64" s="41"/>
      <c r="L64" s="154" t="s">
        <v>75</v>
      </c>
      <c r="M64" s="207"/>
      <c r="N64" s="155"/>
      <c r="O64" s="154" t="s">
        <v>76</v>
      </c>
      <c r="P64" s="155"/>
      <c r="Q64" s="154" t="s">
        <v>77</v>
      </c>
      <c r="R64" s="208"/>
      <c r="S64" s="209"/>
    </row>
    <row r="65" spans="1:25" ht="33" customHeight="1" x14ac:dyDescent="0.25">
      <c r="A65" s="210"/>
      <c r="B65" s="132"/>
      <c r="C65" s="132"/>
      <c r="D65" s="132"/>
      <c r="E65" s="132" t="s">
        <v>78</v>
      </c>
      <c r="F65" s="132"/>
      <c r="G65" s="132" t="s">
        <v>79</v>
      </c>
      <c r="H65" s="132"/>
      <c r="I65" s="132"/>
      <c r="J65" s="132"/>
      <c r="K65" s="38"/>
      <c r="L65" s="132"/>
      <c r="M65" s="132"/>
      <c r="N65" s="132"/>
      <c r="O65" s="132" t="s">
        <v>80</v>
      </c>
      <c r="P65" s="132"/>
      <c r="Q65" s="132"/>
      <c r="R65" s="133"/>
      <c r="S65" s="196"/>
    </row>
    <row r="66" spans="1:25" ht="31.5" customHeight="1" x14ac:dyDescent="0.25">
      <c r="A66" s="210"/>
      <c r="B66" s="132"/>
      <c r="C66" s="132"/>
      <c r="D66" s="132"/>
      <c r="E66" s="132"/>
      <c r="F66" s="132"/>
      <c r="G66" s="132"/>
      <c r="H66" s="132"/>
      <c r="I66" s="132"/>
      <c r="J66" s="132"/>
      <c r="K66" s="38"/>
      <c r="L66" s="132"/>
      <c r="M66" s="132"/>
      <c r="N66" s="132"/>
      <c r="O66" s="132" t="s">
        <v>81</v>
      </c>
      <c r="P66" s="132"/>
      <c r="Q66" s="132"/>
      <c r="R66" s="133"/>
      <c r="S66" s="196"/>
    </row>
    <row r="67" spans="1:25" ht="45.75" customHeight="1" thickBot="1" x14ac:dyDescent="0.3">
      <c r="A67" s="197"/>
      <c r="B67" s="153"/>
      <c r="C67" s="153"/>
      <c r="D67" s="153"/>
      <c r="E67" s="153"/>
      <c r="F67" s="153"/>
      <c r="G67" s="153"/>
      <c r="H67" s="153"/>
      <c r="I67" s="153"/>
      <c r="J67" s="153"/>
      <c r="K67" s="39"/>
      <c r="L67" s="153"/>
      <c r="M67" s="153"/>
      <c r="N67" s="153"/>
      <c r="O67" s="153" t="s">
        <v>82</v>
      </c>
      <c r="P67" s="153"/>
      <c r="Q67" s="153"/>
      <c r="R67" s="200"/>
      <c r="S67" s="198"/>
    </row>
    <row r="69" spans="1:25" ht="13.5" thickBot="1" x14ac:dyDescent="0.3">
      <c r="A69" s="218" t="s">
        <v>83</v>
      </c>
      <c r="B69" s="219"/>
      <c r="C69" s="219"/>
      <c r="D69" s="219"/>
      <c r="E69" s="219"/>
      <c r="F69" s="219"/>
      <c r="G69" s="219"/>
      <c r="H69" s="219"/>
      <c r="I69" s="219"/>
      <c r="J69" s="219"/>
      <c r="K69" s="219"/>
      <c r="L69" s="219"/>
      <c r="M69" s="219"/>
      <c r="N69" s="219"/>
      <c r="O69" s="219"/>
      <c r="P69" s="219"/>
      <c r="Q69" s="219"/>
      <c r="R69" s="220"/>
      <c r="S69" s="221"/>
    </row>
    <row r="70" spans="1:25" ht="16.5" customHeight="1" thickBot="1" x14ac:dyDescent="0.3">
      <c r="A70" s="222" t="s">
        <v>84</v>
      </c>
      <c r="B70" s="208"/>
      <c r="C70" s="208"/>
      <c r="D70" s="223"/>
      <c r="E70" s="208" t="s">
        <v>85</v>
      </c>
      <c r="F70" s="208"/>
      <c r="G70" s="208"/>
      <c r="H70" s="207"/>
      <c r="I70" s="222" t="s">
        <v>86</v>
      </c>
      <c r="J70" s="208"/>
      <c r="K70" s="208"/>
      <c r="L70" s="208"/>
      <c r="M70" s="208"/>
      <c r="N70" s="207"/>
      <c r="O70" s="222" t="s">
        <v>87</v>
      </c>
      <c r="P70" s="208"/>
      <c r="Q70" s="208"/>
      <c r="R70" s="208"/>
      <c r="S70" s="223"/>
    </row>
    <row r="71" spans="1:25" x14ac:dyDescent="0.25">
      <c r="A71" s="193" t="s">
        <v>88</v>
      </c>
      <c r="B71" s="176"/>
      <c r="C71" s="176"/>
      <c r="D71" s="194"/>
      <c r="E71" s="195" t="s">
        <v>88</v>
      </c>
      <c r="F71" s="176"/>
      <c r="G71" s="176"/>
      <c r="H71" s="174"/>
      <c r="I71" s="214" t="s">
        <v>88</v>
      </c>
      <c r="J71" s="215"/>
      <c r="K71" s="215"/>
      <c r="L71" s="215"/>
      <c r="M71" s="216"/>
      <c r="N71" s="217"/>
      <c r="O71" s="139"/>
      <c r="P71" s="132"/>
      <c r="Q71" s="132"/>
      <c r="R71" s="133"/>
      <c r="S71" s="196"/>
      <c r="Y71" s="81"/>
    </row>
    <row r="72" spans="1:25" x14ac:dyDescent="0.25">
      <c r="A72" s="210"/>
      <c r="B72" s="132"/>
      <c r="C72" s="132"/>
      <c r="D72" s="196"/>
      <c r="E72" s="139"/>
      <c r="F72" s="132"/>
      <c r="G72" s="132"/>
      <c r="H72" s="133"/>
      <c r="I72" s="210"/>
      <c r="J72" s="132"/>
      <c r="K72" s="132"/>
      <c r="L72" s="132"/>
      <c r="M72" s="133"/>
      <c r="N72" s="196"/>
      <c r="O72" s="139"/>
      <c r="P72" s="132"/>
      <c r="Q72" s="132"/>
      <c r="R72" s="133"/>
      <c r="S72" s="196"/>
      <c r="Y72" s="82"/>
    </row>
    <row r="73" spans="1:25" x14ac:dyDescent="0.25">
      <c r="A73" s="193" t="s">
        <v>89</v>
      </c>
      <c r="B73" s="176"/>
      <c r="C73" s="176"/>
      <c r="D73" s="194"/>
      <c r="E73" s="195" t="s">
        <v>89</v>
      </c>
      <c r="F73" s="176"/>
      <c r="G73" s="176"/>
      <c r="H73" s="174"/>
      <c r="I73" s="193" t="s">
        <v>89</v>
      </c>
      <c r="J73" s="176"/>
      <c r="K73" s="176"/>
      <c r="L73" s="176"/>
      <c r="M73" s="174"/>
      <c r="N73" s="194"/>
      <c r="O73" s="139"/>
      <c r="P73" s="132"/>
      <c r="Q73" s="132"/>
      <c r="R73" s="133"/>
      <c r="S73" s="196"/>
    </row>
    <row r="74" spans="1:25" ht="13.5" thickBot="1" x14ac:dyDescent="0.3">
      <c r="A74" s="197"/>
      <c r="B74" s="153"/>
      <c r="C74" s="153"/>
      <c r="D74" s="198"/>
      <c r="E74" s="199"/>
      <c r="F74" s="153"/>
      <c r="G74" s="153"/>
      <c r="H74" s="200"/>
      <c r="I74" s="201"/>
      <c r="J74" s="202"/>
      <c r="K74" s="202"/>
      <c r="L74" s="202"/>
      <c r="M74" s="203"/>
      <c r="N74" s="204"/>
      <c r="O74" s="199"/>
      <c r="P74" s="153"/>
      <c r="Q74" s="153"/>
      <c r="R74" s="200"/>
      <c r="S74" s="198"/>
    </row>
    <row r="75" spans="1:25" ht="13.5" thickBot="1" x14ac:dyDescent="0.3">
      <c r="A75" s="189"/>
      <c r="B75" s="189"/>
      <c r="C75" s="189"/>
      <c r="D75" s="189"/>
      <c r="E75" s="189"/>
      <c r="F75" s="189"/>
      <c r="G75" s="189"/>
      <c r="H75" s="189"/>
      <c r="I75" s="189"/>
      <c r="J75" s="189"/>
      <c r="K75" s="82"/>
      <c r="L75" s="83"/>
      <c r="M75" s="83"/>
      <c r="N75" s="83"/>
      <c r="O75" s="84"/>
      <c r="Q75" s="82"/>
      <c r="R75" s="82"/>
    </row>
    <row r="76" spans="1:25" ht="16.5" customHeight="1" thickBot="1" x14ac:dyDescent="0.3">
      <c r="A76" s="128" t="s">
        <v>90</v>
      </c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30"/>
      <c r="S76" s="131"/>
    </row>
    <row r="77" spans="1:25" s="87" customFormat="1" x14ac:dyDescent="0.2">
      <c r="A77" s="191" t="s">
        <v>91</v>
      </c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1"/>
      <c r="Q77" s="191"/>
      <c r="R77" s="191"/>
      <c r="S77" s="191"/>
      <c r="T77" s="85"/>
      <c r="U77" s="85"/>
      <c r="V77" s="85"/>
      <c r="W77" s="85"/>
      <c r="X77" s="85"/>
      <c r="Y77" s="86"/>
    </row>
    <row r="78" spans="1:25" s="87" customFormat="1" ht="26.45" customHeight="1" x14ac:dyDescent="0.2">
      <c r="A78" s="176" t="s">
        <v>92</v>
      </c>
      <c r="B78" s="176" t="s">
        <v>93</v>
      </c>
      <c r="C78" s="181" t="s">
        <v>94</v>
      </c>
      <c r="D78" s="176" t="s">
        <v>95</v>
      </c>
      <c r="E78" s="176"/>
      <c r="F78" s="162" t="s">
        <v>96</v>
      </c>
      <c r="G78" s="163"/>
      <c r="H78" s="163"/>
      <c r="I78" s="163"/>
      <c r="J78" s="163"/>
      <c r="K78" s="164"/>
      <c r="L78" s="176" t="s">
        <v>97</v>
      </c>
      <c r="M78" s="182" t="s">
        <v>98</v>
      </c>
      <c r="N78" s="181" t="s">
        <v>99</v>
      </c>
      <c r="O78" s="181"/>
      <c r="P78" s="181"/>
      <c r="Q78" s="181"/>
      <c r="R78" s="181"/>
      <c r="S78" s="181"/>
      <c r="T78" s="85"/>
      <c r="U78" s="85"/>
      <c r="V78" s="85"/>
      <c r="W78" s="85"/>
      <c r="X78" s="85"/>
      <c r="Y78" s="86"/>
    </row>
    <row r="79" spans="1:25" s="87" customFormat="1" ht="15.75" x14ac:dyDescent="0.25">
      <c r="A79" s="176"/>
      <c r="B79" s="176"/>
      <c r="C79" s="181"/>
      <c r="D79" s="176"/>
      <c r="E79" s="176"/>
      <c r="F79" s="88" t="s">
        <v>100</v>
      </c>
      <c r="G79" s="88" t="s">
        <v>101</v>
      </c>
      <c r="H79" s="88" t="s">
        <v>102</v>
      </c>
      <c r="I79" s="88" t="s">
        <v>103</v>
      </c>
      <c r="J79" s="88" t="s">
        <v>104</v>
      </c>
      <c r="K79" s="89" t="s">
        <v>105</v>
      </c>
      <c r="L79" s="176"/>
      <c r="M79" s="182"/>
      <c r="N79" s="88" t="s">
        <v>100</v>
      </c>
      <c r="O79" s="88" t="s">
        <v>101</v>
      </c>
      <c r="P79" s="88" t="s">
        <v>102</v>
      </c>
      <c r="Q79" s="88" t="s">
        <v>103</v>
      </c>
      <c r="R79" s="88" t="s">
        <v>104</v>
      </c>
      <c r="S79" s="90" t="s">
        <v>105</v>
      </c>
      <c r="T79" s="85"/>
      <c r="U79" s="85"/>
      <c r="V79" s="85"/>
      <c r="W79" s="85"/>
      <c r="X79" s="85"/>
      <c r="Y79" s="86"/>
    </row>
    <row r="80" spans="1:25" s="87" customFormat="1" x14ac:dyDescent="0.2">
      <c r="A80" s="181" t="s">
        <v>106</v>
      </c>
      <c r="B80" s="91" t="s">
        <v>107</v>
      </c>
      <c r="C80" s="91"/>
      <c r="D80" s="181"/>
      <c r="E80" s="181"/>
      <c r="F80" s="91" t="str" cm="1">
        <f t="array" ref="F80">IFERROR(INDEX(co,MATCH(B80&amp;"|"&amp;C80,categoria&amp;"|"&amp;combustible,0),0),"")</f>
        <v/>
      </c>
      <c r="G80" s="91" t="str" cm="1">
        <f t="array" ref="G80">IFERROR(INDEX(nmvoc,MATCH(B80&amp;"|"&amp;C80,categoria&amp;"|"&amp;combustible,0),0),"")</f>
        <v/>
      </c>
      <c r="H80" s="91" t="str" cm="1">
        <f t="array" ref="H80">IFERROR(INDEX(nox,MATCH(B80&amp;"|"&amp;C80,categoria&amp;"|"&amp;combustible,0),0),"")</f>
        <v/>
      </c>
      <c r="I80" s="91" t="str" cm="1">
        <f t="array" ref="I80">IFERROR(INDEX(pm,MATCH(B80&amp;"|"&amp;C80,categoria&amp;"|"&amp;combustible,0),0),"")</f>
        <v/>
      </c>
      <c r="J80" s="91" t="str" cm="1">
        <f t="array" ref="J80">IFERROR(INDEX(codos,MATCH(B80&amp;"|"&amp;C80,categoria&amp;"|"&amp;combustible,0),0),"")</f>
        <v/>
      </c>
      <c r="K80" s="91" t="str" cm="1">
        <f t="array" ref="K80">IFERROR(INDEX(metano,MATCH(B80&amp;"|"&amp;C80,categoria&amp;"|"&amp;combustible,0),0),"")</f>
        <v/>
      </c>
      <c r="L80" s="91"/>
      <c r="M80" s="92">
        <f>IFERROR(D80*$L80,"")</f>
        <v>0</v>
      </c>
      <c r="N80" s="93" t="str">
        <f>IFERROR(F80*$M80," ")</f>
        <v xml:space="preserve"> </v>
      </c>
      <c r="O80" s="93" t="str">
        <f>IFERROR(G80*$M80,"")</f>
        <v/>
      </c>
      <c r="P80" s="93" t="str">
        <f>IFERROR(H80*$M80,"")</f>
        <v/>
      </c>
      <c r="Q80" s="93" t="str">
        <f>IFERROR(I80*$M80,"")</f>
        <v/>
      </c>
      <c r="R80" s="93" t="str">
        <f>IFERROR(J80*$M80,"")</f>
        <v/>
      </c>
      <c r="S80" s="93" t="str">
        <f>IFERROR(K80*$M80,"")</f>
        <v/>
      </c>
      <c r="T80" s="85"/>
      <c r="U80" s="85"/>
      <c r="V80" s="85"/>
      <c r="W80" s="85"/>
      <c r="X80" s="85"/>
      <c r="Y80" s="86"/>
    </row>
    <row r="81" spans="1:25" s="87" customFormat="1" x14ac:dyDescent="0.2">
      <c r="A81" s="181"/>
      <c r="B81" s="91" t="s">
        <v>108</v>
      </c>
      <c r="C81" s="91"/>
      <c r="D81" s="181"/>
      <c r="E81" s="181"/>
      <c r="F81" s="91" t="str" cm="1">
        <f t="array" ref="F81">IFERROR(INDEX(co,MATCH(B81&amp;"|"&amp;C81,categoria&amp;"|"&amp;combustible,0),0),"")</f>
        <v/>
      </c>
      <c r="G81" s="91" t="str" cm="1">
        <f t="array" ref="G81">IFERROR(INDEX(nmvoc,MATCH(B81&amp;"|"&amp;C81,categoria&amp;"|"&amp;combustible,0),0),"")</f>
        <v/>
      </c>
      <c r="H81" s="91" t="str" cm="1">
        <f t="array" ref="H81">IFERROR(INDEX(nox,MATCH(B81&amp;"|"&amp;C81,categoria&amp;"|"&amp;combustible,0),0),"")</f>
        <v/>
      </c>
      <c r="I81" s="91" t="str" cm="1">
        <f t="array" ref="I81">IFERROR(INDEX(pm,MATCH(B81&amp;"|"&amp;C81,categoria&amp;"|"&amp;combustible,0),0),"")</f>
        <v/>
      </c>
      <c r="J81" s="91" t="str" cm="1">
        <f t="array" ref="J81">IFERROR(INDEX(codos,MATCH(B81&amp;"|"&amp;C81,categoria&amp;"|"&amp;combustible,0),0),"")</f>
        <v/>
      </c>
      <c r="K81" s="91" t="str" cm="1">
        <f t="array" ref="K81">IFERROR(INDEX(metano,MATCH(B81&amp;"|"&amp;C81,categoria&amp;"|"&amp;combustible,0),0),"")</f>
        <v/>
      </c>
      <c r="L81" s="91"/>
      <c r="M81" s="92">
        <f t="shared" ref="M81:M87" si="0">IFERROR(D81*$L81,"")</f>
        <v>0</v>
      </c>
      <c r="N81" s="93" t="str">
        <f>IFERROR(F81*$M81,"")</f>
        <v/>
      </c>
      <c r="O81" s="93" t="str">
        <f t="shared" ref="O81:O87" si="1">IFERROR(G81*$M81,"")</f>
        <v/>
      </c>
      <c r="P81" s="93" t="str">
        <f t="shared" ref="P81:P87" si="2">IFERROR(H81*$M81,"")</f>
        <v/>
      </c>
      <c r="Q81" s="93" t="str">
        <f t="shared" ref="Q81:Q87" si="3">IFERROR(I81*$M81,"")</f>
        <v/>
      </c>
      <c r="R81" s="93" t="str">
        <f t="shared" ref="R81:R87" si="4">IFERROR(J81*$M81,"")</f>
        <v/>
      </c>
      <c r="S81" s="93" t="str">
        <f t="shared" ref="S81:S87" si="5">IFERROR(K81*$M81,"")</f>
        <v/>
      </c>
      <c r="T81" s="85"/>
      <c r="U81" s="85"/>
      <c r="V81" s="85"/>
      <c r="W81" s="85"/>
      <c r="X81" s="85"/>
      <c r="Y81" s="86"/>
    </row>
    <row r="82" spans="1:25" s="87" customFormat="1" x14ac:dyDescent="0.2">
      <c r="A82" s="181"/>
      <c r="B82" s="91" t="s">
        <v>109</v>
      </c>
      <c r="C82" s="91"/>
      <c r="D82" s="181"/>
      <c r="E82" s="181"/>
      <c r="F82" s="91" t="str" cm="1">
        <f t="array" ref="F82">IFERROR(INDEX(co,MATCH(B82&amp;"|"&amp;C82,categoria&amp;"|"&amp;combustible,0),0),"")</f>
        <v/>
      </c>
      <c r="G82" s="91" t="str" cm="1">
        <f t="array" ref="G82">IFERROR(INDEX(nmvoc,MATCH(B82&amp;"|"&amp;C82,categoria&amp;"|"&amp;combustible,0),0),"")</f>
        <v/>
      </c>
      <c r="H82" s="91" t="str" cm="1">
        <f t="array" ref="H82">IFERROR(INDEX(nox,MATCH(B82&amp;"|"&amp;C82,categoria&amp;"|"&amp;combustible,0),0),"")</f>
        <v/>
      </c>
      <c r="I82" s="91" t="str" cm="1">
        <f t="array" ref="I82">IFERROR(INDEX(pm,MATCH(B82&amp;"|"&amp;C82,categoria&amp;"|"&amp;combustible,0),0),"")</f>
        <v/>
      </c>
      <c r="J82" s="91" t="str" cm="1">
        <f t="array" ref="J82">IFERROR(INDEX(codos,MATCH(B82&amp;"|"&amp;C82,categoria&amp;"|"&amp;combustible,0),0),"")</f>
        <v/>
      </c>
      <c r="K82" s="91" t="str" cm="1">
        <f t="array" ref="K82">IFERROR(INDEX(metano,MATCH(B82&amp;"|"&amp;C82,categoria&amp;"|"&amp;combustible,0),0),"")</f>
        <v/>
      </c>
      <c r="L82" s="91"/>
      <c r="M82" s="92">
        <f t="shared" si="0"/>
        <v>0</v>
      </c>
      <c r="N82" s="93" t="str">
        <f t="shared" ref="N82:N87" si="6">IFERROR(F82*$M82,"")</f>
        <v/>
      </c>
      <c r="O82" s="93" t="str">
        <f t="shared" si="1"/>
        <v/>
      </c>
      <c r="P82" s="93" t="str">
        <f t="shared" si="2"/>
        <v/>
      </c>
      <c r="Q82" s="93" t="str">
        <f t="shared" si="3"/>
        <v/>
      </c>
      <c r="R82" s="93" t="str">
        <f t="shared" si="4"/>
        <v/>
      </c>
      <c r="S82" s="93" t="str">
        <f t="shared" si="5"/>
        <v/>
      </c>
      <c r="T82" s="85"/>
      <c r="U82" s="85"/>
      <c r="V82" s="85"/>
      <c r="W82" s="85"/>
      <c r="X82" s="85"/>
      <c r="Y82" s="86"/>
    </row>
    <row r="83" spans="1:25" s="87" customFormat="1" x14ac:dyDescent="0.2">
      <c r="A83" s="181"/>
      <c r="B83" s="91" t="s">
        <v>110</v>
      </c>
      <c r="C83" s="91"/>
      <c r="D83" s="181"/>
      <c r="E83" s="181"/>
      <c r="F83" s="91" t="str" cm="1">
        <f t="array" ref="F83">IFERROR(INDEX(co,MATCH(B83&amp;"|"&amp;C83,categoria&amp;"|"&amp;combustible,0),0),"")</f>
        <v/>
      </c>
      <c r="G83" s="91" t="str" cm="1">
        <f t="array" ref="G83">IFERROR(INDEX(nmvoc,MATCH(B83&amp;"|"&amp;C83,categoria&amp;"|"&amp;combustible,0),0),"")</f>
        <v/>
      </c>
      <c r="H83" s="91" t="str" cm="1">
        <f t="array" ref="H83">IFERROR(INDEX(nox,MATCH(B83&amp;"|"&amp;C83,categoria&amp;"|"&amp;combustible,0),0),"")</f>
        <v/>
      </c>
      <c r="I83" s="91" t="str" cm="1">
        <f t="array" ref="I83">IFERROR(INDEX(pm,MATCH(B83&amp;"|"&amp;C83,categoria&amp;"|"&amp;combustible,0),0),"")</f>
        <v/>
      </c>
      <c r="J83" s="91" t="str" cm="1">
        <f t="array" ref="J83">IFERROR(INDEX(codos,MATCH(B83&amp;"|"&amp;C83,categoria&amp;"|"&amp;combustible,0),0),"")</f>
        <v/>
      </c>
      <c r="K83" s="91" t="str" cm="1">
        <f t="array" ref="K83">IFERROR(INDEX(metano,MATCH(B83&amp;"|"&amp;C83,categoria&amp;"|"&amp;combustible,0),0),"")</f>
        <v/>
      </c>
      <c r="L83" s="91"/>
      <c r="M83" s="92">
        <f t="shared" si="0"/>
        <v>0</v>
      </c>
      <c r="N83" s="93" t="str">
        <f>IFERROR(F83*$M83,"")</f>
        <v/>
      </c>
      <c r="O83" s="93" t="str">
        <f t="shared" si="1"/>
        <v/>
      </c>
      <c r="P83" s="93" t="str">
        <f t="shared" si="2"/>
        <v/>
      </c>
      <c r="Q83" s="93" t="str">
        <f t="shared" si="3"/>
        <v/>
      </c>
      <c r="R83" s="93" t="str">
        <f t="shared" si="4"/>
        <v/>
      </c>
      <c r="S83" s="93" t="str">
        <f t="shared" si="5"/>
        <v/>
      </c>
      <c r="T83" s="85"/>
      <c r="U83" s="85"/>
      <c r="V83" s="85"/>
      <c r="W83" s="85"/>
      <c r="X83" s="85"/>
      <c r="Y83" s="86"/>
    </row>
    <row r="84" spans="1:25" s="87" customFormat="1" x14ac:dyDescent="0.2">
      <c r="A84" s="181" t="s">
        <v>111</v>
      </c>
      <c r="B84" s="181" t="s">
        <v>112</v>
      </c>
      <c r="C84" s="91"/>
      <c r="D84" s="181"/>
      <c r="E84" s="181"/>
      <c r="F84" s="91" t="str" cm="1">
        <f t="array" ref="F84">IFERROR(INDEX(co,MATCH($A$84&amp;"|"&amp;C84,equipoproceso&amp;"|"&amp;combustible,0),0),"")</f>
        <v/>
      </c>
      <c r="G84" s="91" t="str" cm="1">
        <f t="array" ref="G84">IFERROR(INDEX(nmvoc,MATCH($A$84&amp;"|"&amp;C84,equipoproceso&amp;"|"&amp;combustible,0),0),"")</f>
        <v/>
      </c>
      <c r="H84" s="91" t="str" cm="1">
        <f t="array" ref="H84">IFERROR(INDEX(nox,MATCH($A$84&amp;"|"&amp;C84,equipoproceso&amp;"|"&amp;combustible,0),0),"")</f>
        <v/>
      </c>
      <c r="I84" s="91" t="str" cm="1">
        <f t="array" ref="I84">IFERROR(INDEX(pm,MATCH($A$84&amp;"|"&amp;C84,equipoproceso&amp;"|"&amp;combustible,0),0),"")</f>
        <v/>
      </c>
      <c r="J84" s="91" t="str" cm="1">
        <f t="array" ref="J84">IFERROR(INDEX(codos,MATCH($A$84&amp;"|"&amp;C84,equipoproceso&amp;"|"&amp;combustible,0),0),"")</f>
        <v/>
      </c>
      <c r="K84" s="91" t="str" cm="1">
        <f t="array" ref="K84">IFERROR(INDEX(metano,MATCH(B84&amp;"|"&amp;C84,categoria&amp;"|"&amp;combustible,0),0),"")</f>
        <v/>
      </c>
      <c r="L84" s="91"/>
      <c r="M84" s="92"/>
      <c r="N84" s="93" t="str">
        <f t="shared" si="6"/>
        <v/>
      </c>
      <c r="O84" s="93" t="str">
        <f t="shared" si="1"/>
        <v/>
      </c>
      <c r="P84" s="93" t="str">
        <f t="shared" si="2"/>
        <v/>
      </c>
      <c r="Q84" s="93" t="str">
        <f t="shared" si="3"/>
        <v/>
      </c>
      <c r="R84" s="93" t="str">
        <f t="shared" si="4"/>
        <v/>
      </c>
      <c r="S84" s="93" t="str">
        <f t="shared" si="5"/>
        <v/>
      </c>
      <c r="T84" s="85"/>
      <c r="U84" s="85"/>
      <c r="V84" s="85"/>
      <c r="W84" s="85"/>
      <c r="X84" s="85"/>
      <c r="Y84" s="86"/>
    </row>
    <row r="85" spans="1:25" s="87" customFormat="1" x14ac:dyDescent="0.2">
      <c r="A85" s="181"/>
      <c r="B85" s="181"/>
      <c r="C85" s="91"/>
      <c r="D85" s="181"/>
      <c r="E85" s="181"/>
      <c r="F85" s="91" t="str" cm="1">
        <f t="array" ref="F85">IFERROR(INDEX(co,MATCH($A$84&amp;"|"&amp;C85,equipoproceso&amp;"|"&amp;combustible,0),0),"")</f>
        <v/>
      </c>
      <c r="G85" s="91" t="str" cm="1">
        <f t="array" ref="G85">IFERROR(INDEX(nmvoc,MATCH($A$84&amp;"|"&amp;C85,equipoproceso&amp;"|"&amp;combustible,0),0),"")</f>
        <v/>
      </c>
      <c r="H85" s="91" t="str" cm="1">
        <f t="array" ref="H85">IFERROR(INDEX(nox,MATCH($A$84&amp;"|"&amp;C85,equipoproceso&amp;"|"&amp;combustible,0),0),"")</f>
        <v/>
      </c>
      <c r="I85" s="91" t="str" cm="1">
        <f t="array" ref="I85">IFERROR(INDEX(pm,MATCH($A$84&amp;"|"&amp;C85,equipoproceso&amp;"|"&amp;combustible,0),0),"")</f>
        <v/>
      </c>
      <c r="J85" s="91" t="str" cm="1">
        <f t="array" ref="J85">IFERROR(INDEX(codos,MATCH($A$84&amp;"|"&amp;C85,equipoproceso&amp;"|"&amp;combustible,0),0),"")</f>
        <v/>
      </c>
      <c r="K85" s="91" t="str" cm="1">
        <f t="array" ref="K85">IFERROR(INDEX(metano,MATCH(B85&amp;"|"&amp;C85,categoria&amp;"|"&amp;combustible,0),0),"")</f>
        <v/>
      </c>
      <c r="L85" s="91"/>
      <c r="M85" s="92">
        <f t="shared" si="0"/>
        <v>0</v>
      </c>
      <c r="N85" s="93" t="str">
        <f t="shared" si="6"/>
        <v/>
      </c>
      <c r="O85" s="93" t="str">
        <f t="shared" si="1"/>
        <v/>
      </c>
      <c r="P85" s="93" t="str">
        <f t="shared" si="2"/>
        <v/>
      </c>
      <c r="Q85" s="93" t="str">
        <f t="shared" si="3"/>
        <v/>
      </c>
      <c r="R85" s="93" t="str">
        <f t="shared" si="4"/>
        <v/>
      </c>
      <c r="S85" s="93" t="str">
        <f t="shared" si="5"/>
        <v/>
      </c>
      <c r="T85" s="85"/>
      <c r="U85" s="85"/>
      <c r="V85" s="85"/>
      <c r="W85" s="85"/>
      <c r="X85" s="85"/>
      <c r="Y85" s="86"/>
    </row>
    <row r="86" spans="1:25" s="87" customFormat="1" x14ac:dyDescent="0.2">
      <c r="A86" s="181"/>
      <c r="B86" s="181"/>
      <c r="C86" s="91"/>
      <c r="D86" s="181"/>
      <c r="E86" s="181"/>
      <c r="F86" s="91" t="str" cm="1">
        <f t="array" ref="F86">IFERROR(INDEX(co,MATCH($A$84&amp;"|"&amp;C86,equipoproceso&amp;"|"&amp;combustible,0),0),"")</f>
        <v/>
      </c>
      <c r="G86" s="91" t="str" cm="1">
        <f t="array" ref="G86">IFERROR(INDEX(nmvoc,MATCH($A$84&amp;"|"&amp;C86,equipoproceso&amp;"|"&amp;combustible,0),0),"")</f>
        <v/>
      </c>
      <c r="H86" s="91" t="str" cm="1">
        <f t="array" ref="H86">IFERROR(INDEX(nox,MATCH($A$84&amp;"|"&amp;C86,equipoproceso&amp;"|"&amp;combustible,0),0),"")</f>
        <v/>
      </c>
      <c r="I86" s="91" t="str" cm="1">
        <f t="array" ref="I86">IFERROR(INDEX(pm,MATCH($A$84&amp;"|"&amp;C86,equipoproceso&amp;"|"&amp;combustible,0),0),"")</f>
        <v/>
      </c>
      <c r="J86" s="91" t="str" cm="1">
        <f t="array" ref="J86">IFERROR(INDEX(codos,MATCH($A$84&amp;"|"&amp;C86,equipoproceso&amp;"|"&amp;combustible,0),0),"")</f>
        <v/>
      </c>
      <c r="K86" s="91" t="str" cm="1">
        <f t="array" ref="K86">IFERROR(INDEX(metano,MATCH(B86&amp;"|"&amp;C86,categoria&amp;"|"&amp;combustible,0),0),"")</f>
        <v/>
      </c>
      <c r="L86" s="91"/>
      <c r="M86" s="92">
        <f t="shared" si="0"/>
        <v>0</v>
      </c>
      <c r="N86" s="93" t="str">
        <f t="shared" si="6"/>
        <v/>
      </c>
      <c r="O86" s="93" t="str">
        <f t="shared" si="1"/>
        <v/>
      </c>
      <c r="P86" s="93" t="str">
        <f t="shared" si="2"/>
        <v/>
      </c>
      <c r="Q86" s="93" t="str">
        <f t="shared" si="3"/>
        <v/>
      </c>
      <c r="R86" s="93" t="str">
        <f t="shared" si="4"/>
        <v/>
      </c>
      <c r="S86" s="93" t="str">
        <f t="shared" si="5"/>
        <v/>
      </c>
      <c r="T86" s="85"/>
      <c r="U86" s="85"/>
      <c r="V86" s="85"/>
      <c r="W86" s="85"/>
      <c r="X86" s="85"/>
      <c r="Y86" s="86"/>
    </row>
    <row r="87" spans="1:25" s="87" customFormat="1" x14ac:dyDescent="0.2">
      <c r="A87" s="181"/>
      <c r="B87" s="181"/>
      <c r="C87" s="91"/>
      <c r="D87" s="181"/>
      <c r="E87" s="181"/>
      <c r="F87" s="91" t="str" cm="1">
        <f t="array" ref="F87">IFERROR(INDEX(co,MATCH($A$84&amp;"|"&amp;C87,equipoproceso&amp;"|"&amp;combustible,0),0),"")</f>
        <v/>
      </c>
      <c r="G87" s="91" t="str" cm="1">
        <f t="array" ref="G87">IFERROR(INDEX(nmvoc,MATCH($A$84&amp;"|"&amp;C87,equipoproceso&amp;"|"&amp;combustible,0),0),"")</f>
        <v/>
      </c>
      <c r="H87" s="91" t="str" cm="1">
        <f t="array" ref="H87">IFERROR(INDEX(nox,MATCH($A$84&amp;"|"&amp;C87,equipoproceso&amp;"|"&amp;combustible,0),0),"")</f>
        <v/>
      </c>
      <c r="I87" s="91" t="str" cm="1">
        <f t="array" ref="I87">IFERROR(INDEX(pm,MATCH($A$84&amp;"|"&amp;C87,equipoproceso&amp;"|"&amp;combustible,0),0),"")</f>
        <v/>
      </c>
      <c r="J87" s="91" t="str" cm="1">
        <f t="array" ref="J87">IFERROR(INDEX(codos,MATCH($A$84&amp;"|"&amp;C87,equipoproceso&amp;"|"&amp;combustible,0),0),"")</f>
        <v/>
      </c>
      <c r="K87" s="91" t="str" cm="1">
        <f t="array" ref="K87">IFERROR(INDEX(metano,MATCH(B87&amp;"|"&amp;C87,categoria&amp;"|"&amp;combustible,0),0),"")</f>
        <v/>
      </c>
      <c r="L87" s="91"/>
      <c r="M87" s="92">
        <f t="shared" si="0"/>
        <v>0</v>
      </c>
      <c r="N87" s="93" t="str">
        <f t="shared" si="6"/>
        <v/>
      </c>
      <c r="O87" s="93" t="str">
        <f t="shared" si="1"/>
        <v/>
      </c>
      <c r="P87" s="93" t="str">
        <f t="shared" si="2"/>
        <v/>
      </c>
      <c r="Q87" s="93" t="str">
        <f t="shared" si="3"/>
        <v/>
      </c>
      <c r="R87" s="93" t="str">
        <f t="shared" si="4"/>
        <v/>
      </c>
      <c r="S87" s="93" t="str">
        <f t="shared" si="5"/>
        <v/>
      </c>
      <c r="T87" s="85"/>
      <c r="U87" s="85"/>
      <c r="V87" s="85"/>
      <c r="W87" s="85"/>
      <c r="X87" s="85"/>
      <c r="Y87" s="86"/>
    </row>
    <row r="88" spans="1:25" s="87" customFormat="1" x14ac:dyDescent="0.2">
      <c r="A88" s="181" t="s">
        <v>113</v>
      </c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91">
        <f>SUM(N80:N87)</f>
        <v>0</v>
      </c>
      <c r="O88" s="91">
        <f>SUM(O80:O87)</f>
        <v>0</v>
      </c>
      <c r="P88" s="91">
        <f t="shared" ref="P88:Q88" si="7">SUM(P80:P87)</f>
        <v>0</v>
      </c>
      <c r="Q88" s="91">
        <f t="shared" si="7"/>
        <v>0</v>
      </c>
      <c r="R88" s="91">
        <f>SUM(R80:R87)</f>
        <v>0</v>
      </c>
      <c r="S88" s="91">
        <f>SUM(S80:S87)</f>
        <v>0</v>
      </c>
      <c r="T88" s="85"/>
      <c r="U88" s="85"/>
      <c r="V88" s="85"/>
      <c r="W88" s="85"/>
      <c r="X88" s="85"/>
      <c r="Y88" s="86"/>
    </row>
    <row r="89" spans="1:25" s="87" customFormat="1" x14ac:dyDescent="0.2">
      <c r="A89" s="181" t="s">
        <v>114</v>
      </c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85"/>
      <c r="U89" s="85"/>
      <c r="V89" s="85"/>
      <c r="W89" s="85"/>
      <c r="X89" s="85"/>
      <c r="Y89" s="86"/>
    </row>
    <row r="90" spans="1:25" s="87" customFormat="1" x14ac:dyDescent="0.2">
      <c r="A90" s="181" t="s">
        <v>115</v>
      </c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85"/>
      <c r="U90" s="85"/>
      <c r="V90" s="85"/>
      <c r="W90" s="85"/>
      <c r="X90" s="85"/>
      <c r="Y90" s="86"/>
    </row>
    <row r="91" spans="1:25" s="87" customFormat="1" ht="26.45" customHeight="1" x14ac:dyDescent="0.2">
      <c r="A91" s="176" t="s">
        <v>92</v>
      </c>
      <c r="B91" s="176" t="s">
        <v>93</v>
      </c>
      <c r="C91" s="181" t="s">
        <v>94</v>
      </c>
      <c r="D91" s="176" t="s">
        <v>116</v>
      </c>
      <c r="E91" s="176"/>
      <c r="F91" s="165" t="s">
        <v>117</v>
      </c>
      <c r="G91" s="166"/>
      <c r="H91" s="166"/>
      <c r="I91" s="166"/>
      <c r="J91" s="166"/>
      <c r="K91" s="167"/>
      <c r="L91" s="158" t="s">
        <v>118</v>
      </c>
      <c r="M91" s="160" t="s">
        <v>119</v>
      </c>
      <c r="N91" s="181" t="s">
        <v>99</v>
      </c>
      <c r="O91" s="181"/>
      <c r="P91" s="181"/>
      <c r="Q91" s="181"/>
      <c r="R91" s="181"/>
      <c r="S91" s="181"/>
      <c r="T91" s="85"/>
      <c r="U91" s="85"/>
      <c r="V91" s="85"/>
      <c r="W91" s="85"/>
      <c r="X91" s="85"/>
      <c r="Y91" s="86"/>
    </row>
    <row r="92" spans="1:25" s="87" customFormat="1" ht="15.75" x14ac:dyDescent="0.25">
      <c r="A92" s="176"/>
      <c r="B92" s="176"/>
      <c r="C92" s="181"/>
      <c r="D92" s="176"/>
      <c r="E92" s="176"/>
      <c r="F92" s="88" t="s">
        <v>100</v>
      </c>
      <c r="G92" s="88" t="s">
        <v>101</v>
      </c>
      <c r="H92" s="88" t="s">
        <v>102</v>
      </c>
      <c r="I92" s="88" t="s">
        <v>103</v>
      </c>
      <c r="J92" s="88" t="s">
        <v>104</v>
      </c>
      <c r="K92" s="90" t="s">
        <v>105</v>
      </c>
      <c r="L92" s="159"/>
      <c r="M92" s="161"/>
      <c r="N92" s="88" t="s">
        <v>100</v>
      </c>
      <c r="O92" s="88" t="s">
        <v>101</v>
      </c>
      <c r="P92" s="88" t="s">
        <v>102</v>
      </c>
      <c r="Q92" s="88" t="s">
        <v>103</v>
      </c>
      <c r="R92" s="88" t="s">
        <v>104</v>
      </c>
      <c r="S92" s="90" t="s">
        <v>105</v>
      </c>
      <c r="T92" s="85"/>
      <c r="U92" s="85"/>
      <c r="V92" s="85"/>
      <c r="W92" s="85"/>
      <c r="X92" s="85"/>
      <c r="Y92" s="86"/>
    </row>
    <row r="93" spans="1:25" s="87" customFormat="1" x14ac:dyDescent="0.2">
      <c r="A93" s="176" t="s">
        <v>120</v>
      </c>
      <c r="B93" s="91" t="s">
        <v>121</v>
      </c>
      <c r="C93" s="94" t="s">
        <v>112</v>
      </c>
      <c r="D93" s="181"/>
      <c r="E93" s="181"/>
      <c r="F93" s="93" cm="1">
        <f t="array" ref="F93">IFERROR(INDEX(co,MATCH(B93,categoria,0),0),"")</f>
        <v>0.19841597910018355</v>
      </c>
      <c r="G93" s="93" cm="1">
        <f t="array" ref="G93">IFERROR(INDEX(nmvoc,MATCH(B93,categoria,0),0),"")</f>
        <v>4.4092439800040789E-3</v>
      </c>
      <c r="H93" s="93" cm="1">
        <f t="array" ref="H93">IFERROR(INDEX(nox,MATCH(B93,categoria,0),0),"")</f>
        <v>5.5115549750050986E-2</v>
      </c>
      <c r="I93" s="93" cm="1">
        <f t="array" ref="I93">IFERROR(INDEX(pm,MATCH(B93,categoria,0),0),"")</f>
        <v>2.2046219900020394E-2</v>
      </c>
      <c r="J93" s="93" cm="1">
        <f t="array" ref="J93">IFERROR(INDEX(codos,MATCH(B93,categoria,0),0),"")</f>
        <v>18.496778496117109</v>
      </c>
      <c r="K93" s="93" cm="1">
        <f t="array" ref="K93">IFERROR(INDEX(metano,MATCH(B93,categoria,0),0),"")</f>
        <v>3.7478573830034669E-3</v>
      </c>
      <c r="L93" s="91"/>
      <c r="M93" s="92">
        <f>IFERROR(D93*$L93,"")</f>
        <v>0</v>
      </c>
      <c r="N93" s="93">
        <f>IFERROR(F93*$M93," ")</f>
        <v>0</v>
      </c>
      <c r="O93" s="93">
        <f t="shared" ref="O93:S93" si="8">IFERROR(G93*$M93," ")</f>
        <v>0</v>
      </c>
      <c r="P93" s="93">
        <f t="shared" si="8"/>
        <v>0</v>
      </c>
      <c r="Q93" s="93">
        <f t="shared" si="8"/>
        <v>0</v>
      </c>
      <c r="R93" s="93">
        <f t="shared" si="8"/>
        <v>0</v>
      </c>
      <c r="S93" s="93">
        <f t="shared" si="8"/>
        <v>0</v>
      </c>
      <c r="T93" s="85"/>
      <c r="U93" s="85"/>
      <c r="V93" s="85"/>
      <c r="W93" s="85"/>
      <c r="X93" s="85"/>
      <c r="Y93" s="86"/>
    </row>
    <row r="94" spans="1:25" s="87" customFormat="1" x14ac:dyDescent="0.2">
      <c r="A94" s="176"/>
      <c r="B94" s="91" t="s">
        <v>122</v>
      </c>
      <c r="C94" s="94" t="s">
        <v>112</v>
      </c>
      <c r="D94" s="181"/>
      <c r="E94" s="181"/>
      <c r="F94" s="93" cm="1">
        <f t="array" ref="F94">IFERROR(INDEX(co,MATCH(B94,categoria,0),0),"")</f>
        <v>6.5036348705060157E-2</v>
      </c>
      <c r="G94" s="93" cm="1">
        <f t="array" ref="G94">IFERROR(INDEX(nmvoc,MATCH(B94,categoria,0),0),"")</f>
        <v>1.6534664925015295E-2</v>
      </c>
      <c r="H94" s="93" cm="1">
        <f t="array" ref="H94">IFERROR(INDEX(nox,MATCH(B94,categoria,0),0),"")</f>
        <v>1.3227731940012236E-2</v>
      </c>
      <c r="I94" s="93" cm="1">
        <f t="array" ref="I94">IFERROR(INDEX(pm,MATCH(B94,categoria,0),0),"")</f>
        <v>1.6534664925015295E-2</v>
      </c>
      <c r="J94" s="93" cm="1">
        <f t="array" ref="J94">IFERROR(INDEX(codos,MATCH(B94,categoria,0),0),"")</f>
        <v>16.501595595165266</v>
      </c>
      <c r="K94" s="93" cm="1">
        <f t="array" ref="K94">IFERROR(INDEX(metano,MATCH(B94,categoria,0),0),"")</f>
        <v>5.9524793730055068E-3</v>
      </c>
      <c r="L94" s="91"/>
      <c r="M94" s="92">
        <f t="shared" ref="M94:M96" si="9">IFERROR(D94*$L94,"")</f>
        <v>0</v>
      </c>
      <c r="N94" s="93">
        <f>IFERROR(F94*$M94," ")</f>
        <v>0</v>
      </c>
      <c r="O94" s="93">
        <f>IFERROR(G94*$M94," ")</f>
        <v>0</v>
      </c>
      <c r="P94" s="93">
        <f>IFERROR(H94*$M94," ")</f>
        <v>0</v>
      </c>
      <c r="Q94" s="93">
        <f>IFERROR(I94*$M94," ")</f>
        <v>0</v>
      </c>
      <c r="R94" s="93">
        <f>IFERROR(J94*$M94," ")</f>
        <v>0</v>
      </c>
      <c r="S94" s="93">
        <f t="shared" ref="S94:S96" si="10">IFERROR(K94*$M94," ")</f>
        <v>0</v>
      </c>
      <c r="T94" s="85"/>
      <c r="U94" s="85"/>
      <c r="V94" s="85"/>
      <c r="W94" s="85"/>
      <c r="X94" s="85"/>
      <c r="Y94" s="86"/>
    </row>
    <row r="95" spans="1:25" s="87" customFormat="1" x14ac:dyDescent="0.2">
      <c r="A95" s="176" t="s">
        <v>123</v>
      </c>
      <c r="B95" s="91" t="s">
        <v>124</v>
      </c>
      <c r="C95" s="94" t="s">
        <v>112</v>
      </c>
      <c r="D95" s="181"/>
      <c r="E95" s="181"/>
      <c r="F95" s="93" cm="1">
        <f t="array" ref="F95">IFERROR(INDEX(co,MATCH(B95,categoria,0),0),"")</f>
        <v>0</v>
      </c>
      <c r="G95" s="93" cm="1">
        <f t="array" ref="G95">IFERROR(INDEX(nmvoc,MATCH(B95,categoria,0),0),"")</f>
        <v>0</v>
      </c>
      <c r="H95" s="93" cm="1">
        <f t="array" ref="H95">IFERROR(INDEX(nox,MATCH(B95,categoria,0),0),"")</f>
        <v>0</v>
      </c>
      <c r="I95" s="93" cm="1">
        <f t="array" ref="I95">IFERROR(INDEX(pm,MATCH(B95,categoria,0),0),"")</f>
        <v>2.7885469261506755</v>
      </c>
      <c r="J95" s="93" cm="1">
        <f t="array" ref="J95">IFERROR(INDEX(codos,MATCH(B95,categoria,0),0),"")</f>
        <v>0</v>
      </c>
      <c r="K95" s="93" cm="1">
        <f t="array" ref="K95">IFERROR(INDEX(metano,MATCH(B95,categoria,0),0),"")</f>
        <v>0</v>
      </c>
      <c r="L95" s="91"/>
      <c r="M95" s="92">
        <f t="shared" si="9"/>
        <v>0</v>
      </c>
      <c r="N95" s="93">
        <f t="shared" ref="N95:N96" si="11">IFERROR(F95*$M95," ")</f>
        <v>0</v>
      </c>
      <c r="O95" s="93">
        <f t="shared" ref="O95:R96" si="12">IFERROR(G95*$M95," ")</f>
        <v>0</v>
      </c>
      <c r="P95" s="93">
        <f t="shared" si="12"/>
        <v>0</v>
      </c>
      <c r="Q95" s="93">
        <f t="shared" si="12"/>
        <v>0</v>
      </c>
      <c r="R95" s="93">
        <f t="shared" si="12"/>
        <v>0</v>
      </c>
      <c r="S95" s="93">
        <f t="shared" si="10"/>
        <v>0</v>
      </c>
      <c r="T95" s="85"/>
      <c r="U95" s="85"/>
      <c r="V95" s="85"/>
      <c r="W95" s="85"/>
      <c r="X95" s="85"/>
      <c r="Y95" s="86"/>
    </row>
    <row r="96" spans="1:25" s="87" customFormat="1" x14ac:dyDescent="0.2">
      <c r="A96" s="176"/>
      <c r="B96" s="91" t="s">
        <v>125</v>
      </c>
      <c r="C96" s="94" t="s">
        <v>112</v>
      </c>
      <c r="D96" s="181"/>
      <c r="E96" s="181"/>
      <c r="F96" s="93" cm="1">
        <f t="array" ref="F96">IFERROR(INDEX(co,MATCH(B96,categoria,0),0),"")</f>
        <v>0</v>
      </c>
      <c r="G96" s="93" cm="1">
        <f t="array" ref="G96">IFERROR(INDEX(nmvoc,MATCH(B96,categoria,0),0),"")</f>
        <v>0</v>
      </c>
      <c r="H96" s="93" cm="1">
        <f t="array" ref="H96">IFERROR(INDEX(nox,MATCH(B96,categoria,0),0),"")</f>
        <v>0</v>
      </c>
      <c r="I96" s="93" cm="1">
        <f t="array" ref="I96">IFERROR(INDEX(pm,MATCH(B96,categoria,0),0),"")</f>
        <v>6.3144930394572224E-2</v>
      </c>
      <c r="J96" s="93" cm="1">
        <f t="array" ref="J96">IFERROR(INDEX(codos,MATCH(B96,categoria,0),0),"")</f>
        <v>0</v>
      </c>
      <c r="K96" s="93" cm="1">
        <f t="array" ref="K96">IFERROR(INDEX(metano,MATCH(B96,categoria,0),0),"")</f>
        <v>0</v>
      </c>
      <c r="L96" s="91"/>
      <c r="M96" s="92">
        <f t="shared" si="9"/>
        <v>0</v>
      </c>
      <c r="N96" s="93">
        <f t="shared" si="11"/>
        <v>0</v>
      </c>
      <c r="O96" s="93">
        <f t="shared" si="12"/>
        <v>0</v>
      </c>
      <c r="P96" s="93">
        <f t="shared" si="12"/>
        <v>0</v>
      </c>
      <c r="Q96" s="93">
        <f t="shared" si="12"/>
        <v>0</v>
      </c>
      <c r="R96" s="93">
        <f t="shared" si="12"/>
        <v>0</v>
      </c>
      <c r="S96" s="93">
        <f t="shared" si="10"/>
        <v>0</v>
      </c>
      <c r="T96" s="85"/>
      <c r="U96" s="85"/>
      <c r="V96" s="85"/>
      <c r="W96" s="85"/>
      <c r="X96" s="85"/>
      <c r="Y96" s="86"/>
    </row>
    <row r="97" spans="1:25" s="87" customFormat="1" x14ac:dyDescent="0.2">
      <c r="A97" s="181" t="s">
        <v>126</v>
      </c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85"/>
      <c r="U97" s="85"/>
      <c r="V97" s="85"/>
      <c r="W97" s="85"/>
      <c r="X97" s="85"/>
      <c r="Y97" s="86"/>
    </row>
    <row r="98" spans="1:25" s="87" customFormat="1" ht="26.45" customHeight="1" x14ac:dyDescent="0.2">
      <c r="A98" s="176" t="s">
        <v>92</v>
      </c>
      <c r="B98" s="176" t="s">
        <v>93</v>
      </c>
      <c r="C98" s="181" t="s">
        <v>94</v>
      </c>
      <c r="D98" s="176" t="s">
        <v>127</v>
      </c>
      <c r="E98" s="176"/>
      <c r="F98" s="162" t="s">
        <v>128</v>
      </c>
      <c r="G98" s="163"/>
      <c r="H98" s="163"/>
      <c r="I98" s="163"/>
      <c r="J98" s="163"/>
      <c r="K98" s="164"/>
      <c r="L98" s="176" t="s">
        <v>129</v>
      </c>
      <c r="M98" s="182" t="s">
        <v>97</v>
      </c>
      <c r="N98" s="181" t="s">
        <v>99</v>
      </c>
      <c r="O98" s="181"/>
      <c r="P98" s="181"/>
      <c r="Q98" s="181"/>
      <c r="R98" s="181"/>
      <c r="S98" s="181"/>
      <c r="T98" s="85"/>
      <c r="U98" s="85"/>
      <c r="V98" s="85"/>
      <c r="W98" s="85"/>
      <c r="X98" s="85"/>
      <c r="Y98" s="86"/>
    </row>
    <row r="99" spans="1:25" s="87" customFormat="1" ht="15.75" x14ac:dyDescent="0.25">
      <c r="A99" s="176"/>
      <c r="B99" s="176"/>
      <c r="C99" s="181"/>
      <c r="D99" s="95" t="s">
        <v>130</v>
      </c>
      <c r="E99" s="91" t="s">
        <v>131</v>
      </c>
      <c r="F99" s="88" t="s">
        <v>100</v>
      </c>
      <c r="G99" s="88" t="s">
        <v>101</v>
      </c>
      <c r="H99" s="88" t="s">
        <v>102</v>
      </c>
      <c r="I99" s="88" t="s">
        <v>103</v>
      </c>
      <c r="J99" s="88" t="s">
        <v>104</v>
      </c>
      <c r="K99" s="89" t="s">
        <v>105</v>
      </c>
      <c r="L99" s="176"/>
      <c r="M99" s="182"/>
      <c r="N99" s="88" t="s">
        <v>100</v>
      </c>
      <c r="O99" s="88" t="s">
        <v>101</v>
      </c>
      <c r="P99" s="88" t="s">
        <v>102</v>
      </c>
      <c r="Q99" s="88" t="s">
        <v>103</v>
      </c>
      <c r="R99" s="88" t="s">
        <v>104</v>
      </c>
      <c r="S99" s="90" t="s">
        <v>105</v>
      </c>
      <c r="T99" s="85"/>
      <c r="U99" s="85"/>
      <c r="V99" s="85"/>
      <c r="W99" s="85"/>
      <c r="X99" s="85"/>
      <c r="Y99" s="86"/>
    </row>
    <row r="100" spans="1:25" s="87" customFormat="1" ht="26.45" customHeight="1" x14ac:dyDescent="0.25">
      <c r="A100" s="176" t="s">
        <v>132</v>
      </c>
      <c r="B100" s="88" t="s">
        <v>133</v>
      </c>
      <c r="C100" s="91" t="s">
        <v>134</v>
      </c>
      <c r="D100" s="91"/>
      <c r="E100" s="91" t="s">
        <v>135</v>
      </c>
      <c r="F100" s="93" cm="1">
        <f t="array" ref="F100">IFERROR(INDEX(co,MATCH(B100&amp;"|"&amp;C100,categoria&amp;"|"&amp;combustible,0),0),"")</f>
        <v>5.2649999999999997</v>
      </c>
      <c r="G100" s="93" cm="1">
        <f t="array" ref="G100">IFERROR(INDEX(nmvoc,MATCH(B100&amp;"|"&amp;C100,categoria&amp;"|"&amp;combustible,0),0),"")</f>
        <v>0</v>
      </c>
      <c r="H100" s="93" cm="1">
        <f t="array" ref="H100">IFERROR(INDEX(nox,MATCH(B100&amp;"|"&amp;C100,categoria&amp;"|"&amp;combustible,0),0),"")</f>
        <v>8.6690000000000005</v>
      </c>
      <c r="I100" s="93" cm="1">
        <f t="array" ref="I100">IFERROR(INDEX(pm,MATCH(B100&amp;"|"&amp;C100,categoria&amp;"|"&amp;combustible,0),0),"")</f>
        <v>0.53200000000000003</v>
      </c>
      <c r="J100" s="93" cm="1">
        <f t="array" ref="J100">IFERROR(INDEX(codos,MATCH(B100&amp;"|"&amp;C100,categoria&amp;"|"&amp;combustible,0),0),"")</f>
        <v>819.06799999999998</v>
      </c>
      <c r="K100" s="93" cm="1">
        <f t="array" ref="K100">IFERROR(INDEX(metano,MATCH(B100&amp;"|"&amp;C100,categoria&amp;"|"&amp;combustible,0),0),"")</f>
        <v>0</v>
      </c>
      <c r="L100" s="93" t="s">
        <v>136</v>
      </c>
      <c r="M100" s="91"/>
      <c r="N100" s="93">
        <f t="shared" ref="N100:S100" si="13">IFERROR(F100*$M100*$D100," ")</f>
        <v>0</v>
      </c>
      <c r="O100" s="93">
        <f t="shared" si="13"/>
        <v>0</v>
      </c>
      <c r="P100" s="93">
        <f t="shared" si="13"/>
        <v>0</v>
      </c>
      <c r="Q100" s="93">
        <f t="shared" si="13"/>
        <v>0</v>
      </c>
      <c r="R100" s="93">
        <f t="shared" si="13"/>
        <v>0</v>
      </c>
      <c r="S100" s="93">
        <f t="shared" si="13"/>
        <v>0</v>
      </c>
      <c r="T100" s="85"/>
      <c r="U100" s="85"/>
      <c r="V100" s="85"/>
      <c r="W100" s="85"/>
      <c r="X100" s="85"/>
      <c r="Y100" s="86"/>
    </row>
    <row r="101" spans="1:25" s="87" customFormat="1" ht="15.75" x14ac:dyDescent="0.25">
      <c r="A101" s="176"/>
      <c r="B101" s="88" t="s">
        <v>137</v>
      </c>
      <c r="C101" s="91" t="s">
        <v>138</v>
      </c>
      <c r="D101" s="91"/>
      <c r="E101" s="91" t="s">
        <v>139</v>
      </c>
      <c r="F101" s="93" cm="1">
        <f t="array" ref="F101">IFERROR(INDEX(co,MATCH(B101&amp;"|"&amp;C101,categoria&amp;"|"&amp;combustible,0),0),"")</f>
        <v>602.19399999999996</v>
      </c>
      <c r="G101" s="93" cm="1">
        <f t="array" ref="G101">IFERROR(INDEX(nmvoc,MATCH(B101&amp;"|"&amp;C101,categoria&amp;"|"&amp;combustible,0),0),"")</f>
        <v>0</v>
      </c>
      <c r="H101" s="93" cm="1">
        <f t="array" ref="H101">IFERROR(INDEX(nox,MATCH(B101&amp;"|"&amp;C101,categoria&amp;"|"&amp;combustible,0),0),"")</f>
        <v>991.49099999999999</v>
      </c>
      <c r="I101" s="93" cm="1">
        <f t="array" ref="I101">IFERROR(INDEX(pm,MATCH(B101&amp;"|"&amp;C101,categoria&amp;"|"&amp;combustible,0),0),"")</f>
        <v>60.828000000000003</v>
      </c>
      <c r="J101" s="93" cm="1">
        <f t="array" ref="J101">IFERROR(INDEX(codos,MATCH(B101&amp;"|"&amp;C101,categoria&amp;"|"&amp;combustible,0),0),"")</f>
        <v>93674.625</v>
      </c>
      <c r="K101" s="93" cm="1">
        <f t="array" ref="K101">IFERROR(INDEX(metano,MATCH(B101&amp;"|"&amp;C101,categoria&amp;"|"&amp;combustible,0),0),"")</f>
        <v>0</v>
      </c>
      <c r="L101" s="93" t="s">
        <v>140</v>
      </c>
      <c r="M101" s="94" t="s">
        <v>112</v>
      </c>
      <c r="N101" s="93">
        <f t="shared" ref="N101:S101" si="14">IFERROR(F101*$D101," ")</f>
        <v>0</v>
      </c>
      <c r="O101" s="93">
        <f t="shared" si="14"/>
        <v>0</v>
      </c>
      <c r="P101" s="93">
        <f t="shared" si="14"/>
        <v>0</v>
      </c>
      <c r="Q101" s="93">
        <f t="shared" si="14"/>
        <v>0</v>
      </c>
      <c r="R101" s="93">
        <f t="shared" si="14"/>
        <v>0</v>
      </c>
      <c r="S101" s="93">
        <f t="shared" si="14"/>
        <v>0</v>
      </c>
      <c r="T101" s="85"/>
      <c r="U101" s="85"/>
      <c r="V101" s="85"/>
      <c r="W101" s="85"/>
      <c r="X101" s="85"/>
      <c r="Y101" s="86"/>
    </row>
    <row r="102" spans="1:25" s="87" customFormat="1" x14ac:dyDescent="0.2">
      <c r="A102" s="95" t="s">
        <v>141</v>
      </c>
      <c r="B102" s="94" t="s">
        <v>112</v>
      </c>
      <c r="C102" s="94" t="s">
        <v>112</v>
      </c>
      <c r="D102" s="91"/>
      <c r="E102" s="91" t="s">
        <v>139</v>
      </c>
      <c r="F102" s="93" cm="1">
        <f t="array" ref="F102">IFERROR(INDEX(co,MATCH(A102,equipoproceso,0),0),"")</f>
        <v>0</v>
      </c>
      <c r="G102" s="93" cm="1">
        <f t="array" ref="G102">IFERROR(INDEX(nmvoc,MATCH(A102,equipoproceso,0),0),"")</f>
        <v>0</v>
      </c>
      <c r="H102" s="93" cm="1">
        <f t="array" ref="H102">IFERROR(INDEX(nox,MATCH(A102,equipoproceso,0),0),"")</f>
        <v>0</v>
      </c>
      <c r="I102" s="93" cm="1">
        <f t="array" ref="I102">IFERROR(INDEX(pm,MATCH(A102,equipoproceso,0),0),"")</f>
        <v>0</v>
      </c>
      <c r="J102" s="93" cm="1">
        <f t="array" ref="J102">IFERROR(INDEX(codos,MATCH(A102,equipoproceso,0),0),"")</f>
        <v>150592710</v>
      </c>
      <c r="K102" s="93" cm="1">
        <f t="array" ref="K102">IFERROR(INDEX(metano,MATCH(A102,equipoproceso,0),0),"")</f>
        <v>0</v>
      </c>
      <c r="L102" s="93" t="s">
        <v>140</v>
      </c>
      <c r="M102" s="94" t="s">
        <v>112</v>
      </c>
      <c r="N102" s="93">
        <f>IFERROR(F102*$D102," ")</f>
        <v>0</v>
      </c>
      <c r="O102" s="93">
        <f t="shared" ref="O102" si="15">IFERROR(G102*$D102," ")</f>
        <v>0</v>
      </c>
      <c r="P102" s="93">
        <f t="shared" ref="P102" si="16">IFERROR(H102*$D102," ")</f>
        <v>0</v>
      </c>
      <c r="Q102" s="93">
        <f t="shared" ref="Q102" si="17">IFERROR(I102*$D102," ")</f>
        <v>0</v>
      </c>
      <c r="R102" s="93">
        <f>IFERROR(J102*$D102," ")</f>
        <v>0</v>
      </c>
      <c r="S102" s="93">
        <f>IFERROR(K102*$D102," ")</f>
        <v>0</v>
      </c>
      <c r="T102" s="85"/>
      <c r="U102" s="85"/>
      <c r="V102" s="85"/>
      <c r="W102" s="85"/>
      <c r="X102" s="85"/>
      <c r="Y102" s="86"/>
    </row>
    <row r="103" spans="1:25" s="87" customFormat="1" x14ac:dyDescent="0.2">
      <c r="A103" s="181" t="s">
        <v>142</v>
      </c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91">
        <f>SUM(N93:N96,N100:N102)</f>
        <v>0</v>
      </c>
      <c r="O103" s="91">
        <f>SUM(O93:O96,O100:O102)</f>
        <v>0</v>
      </c>
      <c r="P103" s="91">
        <f>SUM(P93:P96,P100:P102)</f>
        <v>0</v>
      </c>
      <c r="Q103" s="91">
        <f t="shared" ref="Q103" si="18">SUM(Q93:Q96,Q100:Q102)</f>
        <v>0</v>
      </c>
      <c r="R103" s="91">
        <f>SUM(R93:R96,R100:R102)</f>
        <v>0</v>
      </c>
      <c r="S103" s="91">
        <f>SUM(S93:S96,S100:S102)</f>
        <v>0</v>
      </c>
      <c r="T103" s="85"/>
      <c r="U103" s="85"/>
      <c r="V103" s="85"/>
      <c r="W103" s="85"/>
      <c r="X103" s="85"/>
      <c r="Y103" s="86"/>
    </row>
    <row r="104" spans="1:25" s="87" customFormat="1" x14ac:dyDescent="0.2">
      <c r="A104" s="162" t="s">
        <v>143</v>
      </c>
      <c r="B104" s="163"/>
      <c r="C104" s="163"/>
      <c r="D104" s="163"/>
      <c r="E104" s="163"/>
      <c r="F104" s="163"/>
      <c r="G104" s="163"/>
      <c r="H104" s="163"/>
      <c r="I104" s="163"/>
      <c r="J104" s="163"/>
      <c r="K104" s="163"/>
      <c r="L104" s="163"/>
      <c r="M104" s="164"/>
      <c r="N104" s="91">
        <f>N88+N103</f>
        <v>0</v>
      </c>
      <c r="O104" s="91">
        <f t="shared" ref="O104:Q104" si="19">O88+O103</f>
        <v>0</v>
      </c>
      <c r="P104" s="91">
        <f t="shared" si="19"/>
        <v>0</v>
      </c>
      <c r="Q104" s="91">
        <f t="shared" si="19"/>
        <v>0</v>
      </c>
      <c r="R104" s="91">
        <f>R88+R103</f>
        <v>0</v>
      </c>
      <c r="S104" s="91">
        <f>S88+S103</f>
        <v>0</v>
      </c>
      <c r="T104" s="85"/>
      <c r="U104" s="85"/>
      <c r="V104" s="85"/>
      <c r="W104" s="85"/>
      <c r="X104" s="85"/>
      <c r="Y104" s="86"/>
    </row>
    <row r="105" spans="1:25" s="87" customFormat="1" x14ac:dyDescent="0.2">
      <c r="A105" s="190" t="s">
        <v>144</v>
      </c>
      <c r="B105" s="190"/>
      <c r="C105" s="190"/>
      <c r="D105" s="190"/>
      <c r="E105" s="190"/>
      <c r="F105" s="190"/>
      <c r="G105" s="190"/>
      <c r="H105" s="190"/>
      <c r="I105" s="190"/>
      <c r="J105" s="190"/>
      <c r="K105" s="190"/>
      <c r="L105" s="190"/>
      <c r="M105" s="190"/>
      <c r="N105" s="190"/>
      <c r="O105" s="190"/>
      <c r="P105" s="190"/>
      <c r="Q105" s="190"/>
      <c r="R105" s="190"/>
      <c r="S105" s="190"/>
      <c r="T105" s="85"/>
      <c r="U105" s="85"/>
      <c r="V105" s="85"/>
      <c r="W105" s="85"/>
      <c r="X105" s="85"/>
      <c r="Y105" s="86"/>
    </row>
    <row r="106" spans="1:25" s="87" customFormat="1" ht="39" customHeight="1" x14ac:dyDescent="0.2">
      <c r="A106" s="168" t="s">
        <v>145</v>
      </c>
      <c r="B106" s="169"/>
      <c r="C106" s="169"/>
      <c r="D106" s="169"/>
      <c r="E106" s="169"/>
      <c r="F106" s="169"/>
      <c r="G106" s="169"/>
      <c r="H106" s="169"/>
      <c r="I106" s="169"/>
      <c r="J106" s="169"/>
      <c r="K106" s="169"/>
      <c r="L106" s="169"/>
      <c r="M106" s="170"/>
      <c r="N106" s="174" t="s">
        <v>146</v>
      </c>
      <c r="O106" s="175"/>
      <c r="P106" s="175"/>
      <c r="Q106" s="175"/>
      <c r="R106" s="176" t="s">
        <v>147</v>
      </c>
      <c r="S106" s="176"/>
      <c r="T106" s="85"/>
      <c r="U106" s="85"/>
      <c r="V106" s="85"/>
      <c r="W106" s="85"/>
      <c r="X106" s="85"/>
      <c r="Y106" s="86"/>
    </row>
    <row r="107" spans="1:25" s="87" customFormat="1" ht="15.75" x14ac:dyDescent="0.25">
      <c r="A107" s="171"/>
      <c r="B107" s="172"/>
      <c r="C107" s="172"/>
      <c r="D107" s="172"/>
      <c r="E107" s="172"/>
      <c r="F107" s="172"/>
      <c r="G107" s="172"/>
      <c r="H107" s="172"/>
      <c r="I107" s="172"/>
      <c r="J107" s="172"/>
      <c r="K107" s="172"/>
      <c r="L107" s="172"/>
      <c r="M107" s="173"/>
      <c r="N107" s="88" t="s">
        <v>100</v>
      </c>
      <c r="O107" s="88" t="s">
        <v>102</v>
      </c>
      <c r="P107" s="88" t="s">
        <v>104</v>
      </c>
      <c r="Q107" s="96" t="s">
        <v>105</v>
      </c>
      <c r="R107" s="176"/>
      <c r="S107" s="176"/>
      <c r="T107" s="85"/>
      <c r="U107" s="85"/>
      <c r="V107" s="85"/>
      <c r="W107" s="85"/>
      <c r="X107" s="85"/>
      <c r="Y107" s="86"/>
    </row>
    <row r="108" spans="1:25" s="87" customFormat="1" x14ac:dyDescent="0.2">
      <c r="A108" s="178" t="s">
        <v>148</v>
      </c>
      <c r="B108" s="179"/>
      <c r="C108" s="179"/>
      <c r="D108" s="179"/>
      <c r="E108" s="179"/>
      <c r="F108" s="179"/>
      <c r="G108" s="179"/>
      <c r="H108" s="179"/>
      <c r="I108" s="179"/>
      <c r="J108" s="179"/>
      <c r="K108" s="179"/>
      <c r="L108" s="179"/>
      <c r="M108" s="180"/>
      <c r="N108" s="36">
        <f>N88*3</f>
        <v>0</v>
      </c>
      <c r="O108" s="36">
        <f>P88*265</f>
        <v>0</v>
      </c>
      <c r="P108" s="36">
        <f>R88*1</f>
        <v>0</v>
      </c>
      <c r="Q108" s="97">
        <f>S88*21</f>
        <v>0</v>
      </c>
      <c r="R108" s="177">
        <f>SUM(N108:Q108)</f>
        <v>0</v>
      </c>
      <c r="S108" s="177"/>
      <c r="T108" s="85"/>
      <c r="U108" s="85"/>
      <c r="V108" s="85"/>
      <c r="W108" s="85"/>
      <c r="X108" s="85"/>
      <c r="Y108" s="86"/>
    </row>
    <row r="109" spans="1:25" s="87" customFormat="1" x14ac:dyDescent="0.2">
      <c r="A109" s="178" t="s">
        <v>149</v>
      </c>
      <c r="B109" s="179"/>
      <c r="C109" s="179"/>
      <c r="D109" s="179"/>
      <c r="E109" s="179"/>
      <c r="F109" s="179"/>
      <c r="G109" s="179"/>
      <c r="H109" s="179"/>
      <c r="I109" s="179"/>
      <c r="J109" s="179"/>
      <c r="K109" s="179"/>
      <c r="L109" s="179"/>
      <c r="M109" s="180"/>
      <c r="N109" s="36">
        <f>N103*3</f>
        <v>0</v>
      </c>
      <c r="O109" s="36">
        <f>P103*265</f>
        <v>0</v>
      </c>
      <c r="P109" s="36">
        <f>R103*1</f>
        <v>0</v>
      </c>
      <c r="Q109" s="97">
        <f>S103*21</f>
        <v>0</v>
      </c>
      <c r="R109" s="177">
        <f>SUM(N109:Q109)</f>
        <v>0</v>
      </c>
      <c r="S109" s="177"/>
      <c r="T109" s="85"/>
      <c r="U109" s="85"/>
      <c r="V109" s="85"/>
      <c r="W109" s="85"/>
      <c r="X109" s="85"/>
      <c r="Y109" s="86"/>
    </row>
    <row r="110" spans="1:25" s="87" customFormat="1" ht="13.15" customHeight="1" x14ac:dyDescent="0.2">
      <c r="A110" s="156" t="s">
        <v>150</v>
      </c>
      <c r="B110" s="206"/>
      <c r="C110" s="206"/>
      <c r="D110" s="206"/>
      <c r="E110" s="206"/>
      <c r="F110" s="206"/>
      <c r="G110" s="206"/>
      <c r="H110" s="206"/>
      <c r="I110" s="206"/>
      <c r="J110" s="206"/>
      <c r="K110" s="206"/>
      <c r="L110" s="206"/>
      <c r="M110" s="206"/>
      <c r="N110" s="206"/>
      <c r="O110" s="206"/>
      <c r="P110" s="206"/>
      <c r="Q110" s="157"/>
      <c r="R110" s="156">
        <f>R108+R109</f>
        <v>0</v>
      </c>
      <c r="S110" s="157"/>
      <c r="T110" s="85"/>
      <c r="U110" s="85"/>
      <c r="V110" s="85"/>
      <c r="W110" s="85"/>
      <c r="X110" s="85"/>
      <c r="Y110" s="86"/>
    </row>
    <row r="111" spans="1:25" s="87" customFormat="1" ht="13.5" customHeight="1" thickBot="1" x14ac:dyDescent="0.25">
      <c r="A111" s="98"/>
      <c r="B111" s="99"/>
      <c r="C111" s="99"/>
      <c r="D111" s="99"/>
      <c r="E111" s="99"/>
      <c r="F111" s="99"/>
      <c r="G111" s="99"/>
      <c r="H111" s="99"/>
      <c r="I111" s="99"/>
      <c r="J111" s="99"/>
      <c r="K111" s="99"/>
      <c r="L111" s="99"/>
      <c r="M111" s="99"/>
      <c r="N111" s="99"/>
      <c r="O111" s="99"/>
      <c r="P111" s="99"/>
      <c r="Q111" s="99"/>
      <c r="R111" s="99"/>
      <c r="S111" s="100"/>
      <c r="T111" s="85"/>
      <c r="U111" s="85"/>
      <c r="V111" s="85"/>
      <c r="W111" s="85"/>
      <c r="X111" s="85"/>
      <c r="Y111" s="86"/>
    </row>
    <row r="112" spans="1:25" x14ac:dyDescent="0.2">
      <c r="A112" s="101" t="s">
        <v>151</v>
      </c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87"/>
      <c r="Q112" s="87"/>
      <c r="R112" s="87"/>
      <c r="S112" s="87"/>
      <c r="T112" s="85"/>
      <c r="U112" s="85"/>
      <c r="V112" s="85"/>
      <c r="W112" s="85"/>
      <c r="X112" s="85"/>
    </row>
    <row r="113" spans="1:24" x14ac:dyDescent="0.2">
      <c r="A113" s="184" t="s">
        <v>152</v>
      </c>
      <c r="B113" s="185"/>
      <c r="C113" s="185"/>
      <c r="D113" s="185"/>
      <c r="E113" s="185"/>
      <c r="F113" s="185"/>
      <c r="G113" s="185"/>
      <c r="H113" s="185"/>
      <c r="I113" s="185"/>
      <c r="J113" s="185"/>
      <c r="K113" s="185"/>
      <c r="L113" s="185"/>
      <c r="M113" s="185"/>
      <c r="N113" s="185"/>
      <c r="O113" s="185"/>
      <c r="P113" s="185"/>
      <c r="Q113" s="185"/>
      <c r="R113" s="185"/>
      <c r="S113" s="185"/>
      <c r="T113" s="85"/>
      <c r="U113" s="85"/>
      <c r="V113" s="85"/>
      <c r="W113" s="85"/>
      <c r="X113" s="85"/>
    </row>
    <row r="114" spans="1:24" x14ac:dyDescent="0.2">
      <c r="A114" s="184"/>
      <c r="B114" s="185"/>
      <c r="C114" s="185"/>
      <c r="D114" s="185"/>
      <c r="E114" s="185"/>
      <c r="F114" s="185"/>
      <c r="G114" s="185"/>
      <c r="H114" s="185"/>
      <c r="I114" s="185"/>
      <c r="J114" s="185"/>
      <c r="K114" s="185"/>
      <c r="L114" s="185"/>
      <c r="M114" s="185"/>
      <c r="N114" s="185"/>
      <c r="O114" s="185"/>
      <c r="P114" s="185"/>
      <c r="Q114" s="185"/>
      <c r="R114" s="185"/>
      <c r="S114" s="185"/>
      <c r="T114" s="85"/>
      <c r="U114" s="85"/>
      <c r="V114" s="85"/>
      <c r="W114" s="85"/>
      <c r="X114" s="85"/>
    </row>
    <row r="115" spans="1:24" x14ac:dyDescent="0.2">
      <c r="A115" s="184" t="s">
        <v>153</v>
      </c>
      <c r="B115" s="185"/>
      <c r="C115" s="185"/>
      <c r="D115" s="185"/>
      <c r="E115" s="185"/>
      <c r="F115" s="185"/>
      <c r="G115" s="185"/>
      <c r="H115" s="185"/>
      <c r="I115" s="185"/>
      <c r="J115" s="185"/>
      <c r="K115" s="185"/>
      <c r="L115" s="185"/>
      <c r="M115" s="185"/>
      <c r="N115" s="185"/>
      <c r="O115" s="185"/>
      <c r="P115" s="185"/>
      <c r="Q115" s="185"/>
      <c r="R115" s="185"/>
      <c r="S115" s="185"/>
      <c r="T115" s="85"/>
      <c r="U115" s="85"/>
      <c r="V115" s="85"/>
      <c r="W115" s="85"/>
      <c r="X115" s="85"/>
    </row>
    <row r="116" spans="1:24" x14ac:dyDescent="0.2">
      <c r="A116" s="184" t="s">
        <v>154</v>
      </c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85"/>
      <c r="U116" s="85"/>
      <c r="V116" s="85"/>
      <c r="W116" s="85"/>
      <c r="X116" s="85"/>
    </row>
    <row r="117" spans="1:24" ht="15.95" customHeight="1" x14ac:dyDescent="0.2">
      <c r="A117" s="186" t="s">
        <v>155</v>
      </c>
      <c r="B117" s="187"/>
      <c r="C117" s="187"/>
      <c r="D117" s="187"/>
      <c r="E117" s="187"/>
      <c r="F117" s="187"/>
      <c r="G117" s="187"/>
      <c r="H117" s="187"/>
      <c r="I117" s="187"/>
      <c r="J117" s="187"/>
      <c r="K117" s="187"/>
      <c r="L117" s="187"/>
      <c r="M117" s="187"/>
      <c r="N117" s="187"/>
      <c r="O117" s="187"/>
      <c r="P117" s="187"/>
      <c r="Q117" s="187"/>
      <c r="R117" s="187"/>
      <c r="S117" s="187"/>
      <c r="T117" s="85"/>
      <c r="U117" s="85"/>
      <c r="V117" s="85"/>
      <c r="W117" s="85"/>
      <c r="X117" s="85"/>
    </row>
    <row r="118" spans="1:24" x14ac:dyDescent="0.2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87"/>
      <c r="Q118" s="87"/>
      <c r="R118" s="87"/>
      <c r="S118" s="87"/>
      <c r="T118" s="85"/>
      <c r="U118" s="85"/>
      <c r="V118" s="85"/>
      <c r="W118" s="85"/>
      <c r="X118" s="85"/>
    </row>
    <row r="119" spans="1:24" x14ac:dyDescent="0.2">
      <c r="A119" s="87"/>
      <c r="B119" s="192"/>
      <c r="C119" s="192"/>
      <c r="D119" s="192"/>
      <c r="E119" s="192"/>
      <c r="F119" s="192"/>
      <c r="G119" s="192"/>
      <c r="H119" s="102"/>
      <c r="I119" s="102"/>
      <c r="J119" s="192"/>
      <c r="K119" s="192"/>
      <c r="L119" s="192"/>
      <c r="M119" s="192"/>
      <c r="N119" s="192"/>
      <c r="O119" s="192"/>
      <c r="P119" s="192"/>
      <c r="Q119" s="192"/>
      <c r="R119" s="103"/>
      <c r="S119" s="87"/>
      <c r="T119" s="87"/>
      <c r="U119" s="87"/>
      <c r="V119" s="87"/>
      <c r="W119" s="87"/>
      <c r="X119" s="87"/>
    </row>
    <row r="120" spans="1:24" x14ac:dyDescent="0.2">
      <c r="A120" s="85"/>
      <c r="B120" s="102"/>
      <c r="C120" s="102"/>
      <c r="D120" s="102" t="s">
        <v>156</v>
      </c>
      <c r="E120" s="104"/>
      <c r="F120" s="102"/>
      <c r="G120" s="102"/>
      <c r="H120" s="102"/>
      <c r="I120" s="102"/>
      <c r="J120" s="104"/>
      <c r="K120" s="104"/>
      <c r="L120" s="104"/>
      <c r="M120" s="104"/>
      <c r="N120" s="103" t="s">
        <v>156</v>
      </c>
      <c r="O120" s="102"/>
      <c r="P120" s="102"/>
      <c r="Q120" s="102"/>
      <c r="R120" s="102"/>
      <c r="S120" s="85"/>
      <c r="T120" s="87"/>
      <c r="U120" s="87"/>
      <c r="V120" s="87"/>
      <c r="W120" s="87"/>
      <c r="X120" s="87"/>
    </row>
    <row r="121" spans="1:24" x14ac:dyDescent="0.2">
      <c r="A121" s="87"/>
      <c r="B121" s="105" t="s">
        <v>157</v>
      </c>
      <c r="C121" s="82"/>
      <c r="D121" s="82"/>
      <c r="E121" s="82"/>
      <c r="F121" s="82"/>
      <c r="G121" s="82"/>
      <c r="H121" s="102"/>
      <c r="I121" s="102"/>
      <c r="J121" s="105" t="s">
        <v>157</v>
      </c>
      <c r="K121" s="105"/>
      <c r="L121" s="82"/>
      <c r="M121" s="82"/>
      <c r="N121" s="82"/>
      <c r="O121" s="82"/>
      <c r="P121" s="82"/>
      <c r="Q121" s="82"/>
      <c r="R121" s="82"/>
      <c r="S121" s="106"/>
      <c r="T121" s="87"/>
      <c r="U121" s="87"/>
      <c r="V121" s="87"/>
      <c r="W121" s="87"/>
      <c r="X121" s="87"/>
    </row>
    <row r="122" spans="1:24" ht="15.75" customHeight="1" x14ac:dyDescent="0.2">
      <c r="A122" s="87"/>
      <c r="B122" s="188" t="s">
        <v>158</v>
      </c>
      <c r="C122" s="188"/>
      <c r="D122" s="103"/>
      <c r="E122" s="103"/>
      <c r="F122" s="103"/>
      <c r="G122" s="103"/>
      <c r="H122" s="102"/>
      <c r="I122" s="102"/>
      <c r="J122" s="105" t="s">
        <v>159</v>
      </c>
      <c r="K122" s="105"/>
      <c r="L122" s="105"/>
      <c r="M122" s="105"/>
      <c r="N122" s="103"/>
      <c r="O122" s="103"/>
      <c r="P122" s="103"/>
      <c r="Q122" s="103"/>
      <c r="R122" s="103"/>
      <c r="S122" s="86"/>
      <c r="T122" s="87"/>
      <c r="U122" s="87"/>
      <c r="V122" s="87"/>
      <c r="W122" s="87"/>
      <c r="X122" s="107"/>
    </row>
    <row r="123" spans="1:24" x14ac:dyDescent="0.2">
      <c r="A123" s="87"/>
      <c r="B123" s="108" t="s">
        <v>160</v>
      </c>
      <c r="C123" s="205"/>
      <c r="D123" s="205"/>
      <c r="E123" s="205"/>
      <c r="F123" s="205"/>
      <c r="G123" s="205"/>
      <c r="H123" s="102"/>
      <c r="I123" s="102"/>
      <c r="J123" s="108" t="s">
        <v>160</v>
      </c>
      <c r="K123" s="108"/>
      <c r="L123" s="205"/>
      <c r="M123" s="205"/>
      <c r="N123" s="205"/>
      <c r="O123" s="205"/>
      <c r="P123" s="205"/>
      <c r="Q123" s="205"/>
      <c r="R123" s="109"/>
      <c r="S123" s="86"/>
      <c r="T123" s="87"/>
      <c r="U123" s="87"/>
      <c r="V123" s="87"/>
      <c r="W123" s="87"/>
      <c r="X123" s="107"/>
    </row>
    <row r="124" spans="1:24" x14ac:dyDescent="0.2">
      <c r="A124" s="87"/>
      <c r="B124" s="108"/>
      <c r="C124" s="109"/>
      <c r="D124" s="109"/>
      <c r="E124" s="109"/>
      <c r="F124" s="109"/>
      <c r="G124" s="109"/>
      <c r="H124" s="102"/>
      <c r="I124" s="102"/>
      <c r="J124" s="108"/>
      <c r="K124" s="108"/>
      <c r="L124" s="109"/>
      <c r="M124" s="109"/>
      <c r="N124" s="109"/>
      <c r="O124" s="109"/>
      <c r="P124" s="109"/>
      <c r="Q124" s="109"/>
      <c r="R124" s="109"/>
      <c r="S124" s="86"/>
      <c r="T124" s="87"/>
      <c r="U124" s="87"/>
      <c r="V124" s="87"/>
      <c r="W124" s="87"/>
      <c r="X124" s="87"/>
    </row>
    <row r="125" spans="1:24" x14ac:dyDescent="0.2">
      <c r="A125" s="87"/>
      <c r="B125" s="192"/>
      <c r="C125" s="192"/>
      <c r="D125" s="192"/>
      <c r="E125" s="192"/>
      <c r="F125" s="192"/>
      <c r="G125" s="192"/>
      <c r="H125" s="102"/>
      <c r="I125" s="102"/>
      <c r="J125" s="192"/>
      <c r="K125" s="192"/>
      <c r="L125" s="192"/>
      <c r="M125" s="192"/>
      <c r="N125" s="192"/>
      <c r="O125" s="192"/>
      <c r="P125" s="192"/>
      <c r="Q125" s="192"/>
      <c r="R125" s="103"/>
      <c r="S125" s="87"/>
      <c r="T125" s="87"/>
      <c r="U125" s="87"/>
      <c r="V125" s="87"/>
      <c r="W125" s="87"/>
      <c r="X125" s="87"/>
    </row>
    <row r="126" spans="1:24" x14ac:dyDescent="0.2">
      <c r="A126" s="87"/>
      <c r="B126" s="102"/>
      <c r="C126" s="102"/>
      <c r="D126" s="102" t="s">
        <v>156</v>
      </c>
      <c r="E126" s="104"/>
      <c r="F126" s="102"/>
      <c r="G126" s="102"/>
      <c r="H126" s="102"/>
      <c r="I126" s="102"/>
      <c r="J126" s="102"/>
      <c r="K126" s="102"/>
      <c r="L126" s="102"/>
      <c r="M126" s="102"/>
      <c r="N126" s="103" t="s">
        <v>156</v>
      </c>
      <c r="O126" s="104"/>
      <c r="P126" s="102"/>
      <c r="Q126" s="102"/>
      <c r="R126" s="102"/>
      <c r="S126" s="87"/>
    </row>
    <row r="127" spans="1:24" x14ac:dyDescent="0.2">
      <c r="A127" s="87"/>
      <c r="B127" s="105" t="s">
        <v>157</v>
      </c>
      <c r="C127" s="82"/>
      <c r="D127" s="82"/>
      <c r="E127" s="82"/>
      <c r="F127" s="82"/>
      <c r="G127" s="82"/>
      <c r="H127" s="102"/>
      <c r="I127" s="102"/>
      <c r="J127" s="105" t="s">
        <v>157</v>
      </c>
      <c r="K127" s="105"/>
      <c r="L127" s="82"/>
      <c r="M127" s="82"/>
      <c r="N127" s="82"/>
      <c r="O127" s="82"/>
      <c r="P127" s="82"/>
      <c r="Q127" s="82"/>
      <c r="R127" s="82"/>
      <c r="S127" s="87"/>
    </row>
    <row r="128" spans="1:24" ht="15.95" customHeight="1" x14ac:dyDescent="0.2">
      <c r="A128" s="87"/>
      <c r="B128" s="183" t="s">
        <v>161</v>
      </c>
      <c r="C128" s="183"/>
      <c r="D128" s="183"/>
      <c r="E128" s="103"/>
      <c r="F128" s="103"/>
      <c r="G128" s="103"/>
      <c r="H128" s="102"/>
      <c r="I128" s="102"/>
      <c r="J128" s="183" t="s">
        <v>162</v>
      </c>
      <c r="K128" s="183"/>
      <c r="L128" s="183"/>
      <c r="M128" s="183"/>
      <c r="N128" s="183"/>
      <c r="O128" s="103"/>
      <c r="P128" s="103"/>
      <c r="Q128" s="103"/>
      <c r="R128" s="103"/>
      <c r="S128" s="87"/>
    </row>
    <row r="129" spans="1:19" x14ac:dyDescent="0.2">
      <c r="A129" s="87"/>
      <c r="B129" s="105" t="s">
        <v>160</v>
      </c>
      <c r="C129" s="109"/>
      <c r="D129" s="109"/>
      <c r="E129" s="109"/>
      <c r="F129" s="109"/>
      <c r="G129" s="109"/>
      <c r="H129" s="102"/>
      <c r="I129" s="102"/>
      <c r="J129" s="105" t="s">
        <v>160</v>
      </c>
      <c r="K129" s="105"/>
      <c r="L129" s="109"/>
      <c r="M129" s="109"/>
      <c r="N129" s="109"/>
      <c r="O129" s="109"/>
      <c r="P129" s="109"/>
      <c r="Q129" s="109"/>
      <c r="R129" s="109"/>
      <c r="S129" s="87"/>
    </row>
  </sheetData>
  <mergeCells count="320">
    <mergeCell ref="N49:O49"/>
    <mergeCell ref="I49:J49"/>
    <mergeCell ref="F49:G49"/>
    <mergeCell ref="D49:E49"/>
    <mergeCell ref="A49:B49"/>
    <mergeCell ref="P49:Q49"/>
    <mergeCell ref="I51:J51"/>
    <mergeCell ref="N51:O51"/>
    <mergeCell ref="P51:Q51"/>
    <mergeCell ref="A50:B50"/>
    <mergeCell ref="D50:E50"/>
    <mergeCell ref="F50:G50"/>
    <mergeCell ref="I50:J50"/>
    <mergeCell ref="N50:O50"/>
    <mergeCell ref="P50:Q50"/>
    <mergeCell ref="A51:B51"/>
    <mergeCell ref="D51:E51"/>
    <mergeCell ref="F51:G51"/>
    <mergeCell ref="A1:B6"/>
    <mergeCell ref="N1:O2"/>
    <mergeCell ref="P1:S2"/>
    <mergeCell ref="A18:C18"/>
    <mergeCell ref="N3:O4"/>
    <mergeCell ref="B13:C13"/>
    <mergeCell ref="D25:F25"/>
    <mergeCell ref="G25:I25"/>
    <mergeCell ref="J25:L25"/>
    <mergeCell ref="N25:P25"/>
    <mergeCell ref="Q25:S25"/>
    <mergeCell ref="P3:S4"/>
    <mergeCell ref="N5:O6"/>
    <mergeCell ref="P5:S6"/>
    <mergeCell ref="H10:J10"/>
    <mergeCell ref="L10:N10"/>
    <mergeCell ref="A10:B10"/>
    <mergeCell ref="A25:C25"/>
    <mergeCell ref="A8:B8"/>
    <mergeCell ref="C8:E8"/>
    <mergeCell ref="F8:H8"/>
    <mergeCell ref="I8:L8"/>
    <mergeCell ref="N8:O8"/>
    <mergeCell ref="P8:S8"/>
    <mergeCell ref="W19:X20"/>
    <mergeCell ref="A21:S21"/>
    <mergeCell ref="A22:S22"/>
    <mergeCell ref="A23:S23"/>
    <mergeCell ref="A24:C24"/>
    <mergeCell ref="D24:F24"/>
    <mergeCell ref="G24:I24"/>
    <mergeCell ref="J24:L24"/>
    <mergeCell ref="N24:P24"/>
    <mergeCell ref="Q24:S24"/>
    <mergeCell ref="A19:B20"/>
    <mergeCell ref="C19:C20"/>
    <mergeCell ref="D19:E20"/>
    <mergeCell ref="F19:G20"/>
    <mergeCell ref="L19:P20"/>
    <mergeCell ref="Q19:S20"/>
    <mergeCell ref="J27:L27"/>
    <mergeCell ref="N27:P27"/>
    <mergeCell ref="Q27:S27"/>
    <mergeCell ref="A26:C26"/>
    <mergeCell ref="D26:F26"/>
    <mergeCell ref="G26:I26"/>
    <mergeCell ref="J26:L26"/>
    <mergeCell ref="N26:P26"/>
    <mergeCell ref="Q26:S26"/>
    <mergeCell ref="A27:C27"/>
    <mergeCell ref="D27:F27"/>
    <mergeCell ref="G27:I27"/>
    <mergeCell ref="A29:C29"/>
    <mergeCell ref="D29:F29"/>
    <mergeCell ref="G29:I29"/>
    <mergeCell ref="J29:L29"/>
    <mergeCell ref="N29:P29"/>
    <mergeCell ref="Q29:S29"/>
    <mergeCell ref="A28:C28"/>
    <mergeCell ref="D28:F28"/>
    <mergeCell ref="G28:I28"/>
    <mergeCell ref="J28:L28"/>
    <mergeCell ref="N28:P28"/>
    <mergeCell ref="Q28:S28"/>
    <mergeCell ref="A31:C31"/>
    <mergeCell ref="D31:F31"/>
    <mergeCell ref="G31:I31"/>
    <mergeCell ref="J31:L31"/>
    <mergeCell ref="N31:P31"/>
    <mergeCell ref="Q31:S31"/>
    <mergeCell ref="A30:C30"/>
    <mergeCell ref="D30:F30"/>
    <mergeCell ref="G30:I30"/>
    <mergeCell ref="J30:L30"/>
    <mergeCell ref="N30:P30"/>
    <mergeCell ref="Q30:S30"/>
    <mergeCell ref="A33:C33"/>
    <mergeCell ref="D33:F33"/>
    <mergeCell ref="G33:I33"/>
    <mergeCell ref="J33:L33"/>
    <mergeCell ref="N33:P33"/>
    <mergeCell ref="Q33:S33"/>
    <mergeCell ref="A32:C32"/>
    <mergeCell ref="D32:F32"/>
    <mergeCell ref="G32:I32"/>
    <mergeCell ref="J32:L32"/>
    <mergeCell ref="N32:P32"/>
    <mergeCell ref="Q32:S32"/>
    <mergeCell ref="A35:C35"/>
    <mergeCell ref="D35:F35"/>
    <mergeCell ref="G35:I35"/>
    <mergeCell ref="J35:L35"/>
    <mergeCell ref="N35:P35"/>
    <mergeCell ref="Q35:S35"/>
    <mergeCell ref="A34:C34"/>
    <mergeCell ref="D34:F34"/>
    <mergeCell ref="G34:I34"/>
    <mergeCell ref="J34:L34"/>
    <mergeCell ref="N34:P34"/>
    <mergeCell ref="Q34:S34"/>
    <mergeCell ref="A37:C37"/>
    <mergeCell ref="D37:F37"/>
    <mergeCell ref="G37:I37"/>
    <mergeCell ref="J37:L37"/>
    <mergeCell ref="N37:P37"/>
    <mergeCell ref="Q37:S37"/>
    <mergeCell ref="A36:C36"/>
    <mergeCell ref="D36:F36"/>
    <mergeCell ref="G36:I36"/>
    <mergeCell ref="J36:L36"/>
    <mergeCell ref="N36:P36"/>
    <mergeCell ref="Q36:S36"/>
    <mergeCell ref="A39:C39"/>
    <mergeCell ref="D39:F39"/>
    <mergeCell ref="G39:I39"/>
    <mergeCell ref="J39:L39"/>
    <mergeCell ref="N39:P39"/>
    <mergeCell ref="Q39:S39"/>
    <mergeCell ref="A38:C38"/>
    <mergeCell ref="D38:F38"/>
    <mergeCell ref="G38:I38"/>
    <mergeCell ref="J38:L38"/>
    <mergeCell ref="N38:P38"/>
    <mergeCell ref="Q38:S38"/>
    <mergeCell ref="A48:B48"/>
    <mergeCell ref="D48:E48"/>
    <mergeCell ref="F48:G48"/>
    <mergeCell ref="I48:J48"/>
    <mergeCell ref="N48:O48"/>
    <mergeCell ref="P48:Q48"/>
    <mergeCell ref="A41:S41"/>
    <mergeCell ref="A42:S42"/>
    <mergeCell ref="A43:B43"/>
    <mergeCell ref="D43:E43"/>
    <mergeCell ref="F43:G43"/>
    <mergeCell ref="I43:J43"/>
    <mergeCell ref="N43:O43"/>
    <mergeCell ref="P43:Q43"/>
    <mergeCell ref="A47:S47"/>
    <mergeCell ref="D44:E44"/>
    <mergeCell ref="A44:B44"/>
    <mergeCell ref="F44:G44"/>
    <mergeCell ref="I44:J44"/>
    <mergeCell ref="N44:O44"/>
    <mergeCell ref="P44:Q44"/>
    <mergeCell ref="E57:S57"/>
    <mergeCell ref="A58:D58"/>
    <mergeCell ref="A57:D57"/>
    <mergeCell ref="E59:S59"/>
    <mergeCell ref="A59:D59"/>
    <mergeCell ref="E71:H71"/>
    <mergeCell ref="I71:N71"/>
    <mergeCell ref="O71:S71"/>
    <mergeCell ref="A72:D72"/>
    <mergeCell ref="A71:D71"/>
    <mergeCell ref="E72:H72"/>
    <mergeCell ref="E64:F64"/>
    <mergeCell ref="G64:H64"/>
    <mergeCell ref="A61:D61"/>
    <mergeCell ref="I72:N72"/>
    <mergeCell ref="O72:S72"/>
    <mergeCell ref="O67:P67"/>
    <mergeCell ref="Q67:S67"/>
    <mergeCell ref="A69:S69"/>
    <mergeCell ref="A70:D70"/>
    <mergeCell ref="E70:H70"/>
    <mergeCell ref="I70:N70"/>
    <mergeCell ref="O70:S70"/>
    <mergeCell ref="A67:B67"/>
    <mergeCell ref="C123:G123"/>
    <mergeCell ref="L123:Q123"/>
    <mergeCell ref="C91:C92"/>
    <mergeCell ref="A89:S89"/>
    <mergeCell ref="A100:A101"/>
    <mergeCell ref="A109:M109"/>
    <mergeCell ref="A110:Q110"/>
    <mergeCell ref="I64:J64"/>
    <mergeCell ref="L64:N64"/>
    <mergeCell ref="O64:P64"/>
    <mergeCell ref="Q64:S64"/>
    <mergeCell ref="O65:P65"/>
    <mergeCell ref="Q65:S65"/>
    <mergeCell ref="A66:B66"/>
    <mergeCell ref="C66:D66"/>
    <mergeCell ref="E66:F66"/>
    <mergeCell ref="G66:H66"/>
    <mergeCell ref="I66:J66"/>
    <mergeCell ref="L66:N66"/>
    <mergeCell ref="O66:P66"/>
    <mergeCell ref="Q66:S66"/>
    <mergeCell ref="A65:B65"/>
    <mergeCell ref="C65:D65"/>
    <mergeCell ref="E65:F65"/>
    <mergeCell ref="B119:G119"/>
    <mergeCell ref="J119:Q119"/>
    <mergeCell ref="A73:D73"/>
    <mergeCell ref="E73:H73"/>
    <mergeCell ref="I73:N73"/>
    <mergeCell ref="O73:S73"/>
    <mergeCell ref="A74:D74"/>
    <mergeCell ref="E74:H74"/>
    <mergeCell ref="I74:N74"/>
    <mergeCell ref="O74:S74"/>
    <mergeCell ref="D84:E84"/>
    <mergeCell ref="D85:E85"/>
    <mergeCell ref="D86:E86"/>
    <mergeCell ref="D87:E87"/>
    <mergeCell ref="A88:M88"/>
    <mergeCell ref="A113:S114"/>
    <mergeCell ref="L98:L99"/>
    <mergeCell ref="A75:C75"/>
    <mergeCell ref="B98:B99"/>
    <mergeCell ref="C98:C99"/>
    <mergeCell ref="D75:E75"/>
    <mergeCell ref="F75:G75"/>
    <mergeCell ref="N98:S98"/>
    <mergeCell ref="D98:E98"/>
    <mergeCell ref="M78:M79"/>
    <mergeCell ref="A90:S90"/>
    <mergeCell ref="A93:A94"/>
    <mergeCell ref="A95:A96"/>
    <mergeCell ref="D93:E93"/>
    <mergeCell ref="D94:E94"/>
    <mergeCell ref="D95:E95"/>
    <mergeCell ref="D96:E96"/>
    <mergeCell ref="N78:S78"/>
    <mergeCell ref="A91:A92"/>
    <mergeCell ref="B91:B92"/>
    <mergeCell ref="D78:E79"/>
    <mergeCell ref="D80:E80"/>
    <mergeCell ref="B128:D128"/>
    <mergeCell ref="J128:N128"/>
    <mergeCell ref="A115:S115"/>
    <mergeCell ref="A116:S116"/>
    <mergeCell ref="A117:S117"/>
    <mergeCell ref="B122:C122"/>
    <mergeCell ref="H75:J75"/>
    <mergeCell ref="A76:S76"/>
    <mergeCell ref="A105:S105"/>
    <mergeCell ref="F78:K78"/>
    <mergeCell ref="D91:E92"/>
    <mergeCell ref="N91:S91"/>
    <mergeCell ref="A78:A79"/>
    <mergeCell ref="A80:A83"/>
    <mergeCell ref="A84:A87"/>
    <mergeCell ref="B84:B87"/>
    <mergeCell ref="B78:B79"/>
    <mergeCell ref="C78:C79"/>
    <mergeCell ref="D81:E81"/>
    <mergeCell ref="D82:E82"/>
    <mergeCell ref="D83:E83"/>
    <mergeCell ref="A77:S77"/>
    <mergeCell ref="B125:G125"/>
    <mergeCell ref="J125:Q125"/>
    <mergeCell ref="C67:D67"/>
    <mergeCell ref="E67:F67"/>
    <mergeCell ref="G67:H67"/>
    <mergeCell ref="A64:B64"/>
    <mergeCell ref="C64:D64"/>
    <mergeCell ref="I67:J67"/>
    <mergeCell ref="L67:N67"/>
    <mergeCell ref="R110:S110"/>
    <mergeCell ref="L91:L92"/>
    <mergeCell ref="M91:M92"/>
    <mergeCell ref="A104:M104"/>
    <mergeCell ref="F98:K98"/>
    <mergeCell ref="F91:K91"/>
    <mergeCell ref="A106:M107"/>
    <mergeCell ref="N106:Q106"/>
    <mergeCell ref="R106:S107"/>
    <mergeCell ref="R108:S108"/>
    <mergeCell ref="R109:S109"/>
    <mergeCell ref="A108:M108"/>
    <mergeCell ref="A103:M103"/>
    <mergeCell ref="A97:S97"/>
    <mergeCell ref="A98:A99"/>
    <mergeCell ref="M98:M99"/>
    <mergeCell ref="L78:L79"/>
    <mergeCell ref="C1:M1"/>
    <mergeCell ref="C2:M2"/>
    <mergeCell ref="C3:M3"/>
    <mergeCell ref="C4:M4"/>
    <mergeCell ref="C5:M5"/>
    <mergeCell ref="C6:M6"/>
    <mergeCell ref="A63:S63"/>
    <mergeCell ref="G65:H65"/>
    <mergeCell ref="I65:J65"/>
    <mergeCell ref="L65:N65"/>
    <mergeCell ref="E58:S58"/>
    <mergeCell ref="A60:D60"/>
    <mergeCell ref="E60:S60"/>
    <mergeCell ref="A53:S53"/>
    <mergeCell ref="A54:D54"/>
    <mergeCell ref="E54:S54"/>
    <mergeCell ref="A55:D55"/>
    <mergeCell ref="E55:S55"/>
    <mergeCell ref="A56:D56"/>
    <mergeCell ref="E56:S56"/>
    <mergeCell ref="J13:K13"/>
    <mergeCell ref="B16:C16"/>
    <mergeCell ref="J16:K16"/>
    <mergeCell ref="E61:S61"/>
  </mergeCells>
  <dataValidations disablePrompts="1" count="4">
    <dataValidation type="list" allowBlank="1" showInputMessage="1" showErrorMessage="1" sqref="C83">
      <formula1>l</formula1>
    </dataValidation>
    <dataValidation type="list" allowBlank="1" showInputMessage="1" showErrorMessage="1" sqref="C80">
      <formula1>pc</formula1>
    </dataValidation>
    <dataValidation type="list" allowBlank="1" showInputMessage="1" showErrorMessage="1" sqref="C81">
      <formula1>lcv</formula1>
    </dataValidation>
    <dataValidation type="list" allowBlank="1" showInputMessage="1" showErrorMessage="1" sqref="C82">
      <formula1>hcv</formula1>
    </dataValidation>
  </dataValidations>
  <pageMargins left="0.7" right="0.7" top="0.75" bottom="0.75" header="0.3" footer="0.3"/>
  <pageSetup paperSize="5" scale="48" fitToHeight="0" orientation="landscape" r:id="rId1"/>
  <rowBreaks count="2" manualBreakCount="2">
    <brk id="52" max="18" man="1"/>
    <brk id="104" max="18" man="1"/>
  </rowBreaks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0</xdr:col>
                <xdr:colOff>1447800</xdr:colOff>
                <xdr:row>0</xdr:row>
                <xdr:rowOff>104775</xdr:rowOff>
              </from>
              <to>
                <xdr:col>1</xdr:col>
                <xdr:colOff>171450</xdr:colOff>
                <xdr:row>5</xdr:row>
                <xdr:rowOff>133350</xdr:rowOff>
              </to>
            </anchor>
          </objectPr>
        </oleObject>
      </mc:Choice>
      <mc:Fallback>
        <oleObject progId="PBrush" shapeId="1026" r:id="rId4"/>
      </mc:Fallback>
    </mc:AlternateContent>
  </oleObjects>
  <extLst>
    <ext xmlns:x14="http://schemas.microsoft.com/office/spreadsheetml/2009/9/main" uri="{CCE6A557-97BC-4b89-ADB6-D9C93CAAB3DF}">
      <x14:dataValidations xmlns:xm="http://schemas.microsoft.com/office/excel/2006/main" disablePrompts="1" count="12">
        <x14:dataValidation type="list" allowBlank="1" showInputMessage="1" showErrorMessage="1">
          <x14:formula1>
            <xm:f>Listas!$A$30:$A$40</xm:f>
          </x14:formula1>
          <xm:sqref>C8:E8</xm:sqref>
        </x14:dataValidation>
        <x14:dataValidation type="list" allowBlank="1" showInputMessage="1" showErrorMessage="1">
          <x14:formula1>
            <xm:f>Listas!$A$2:$A$27</xm:f>
          </x14:formula1>
          <xm:sqref>I8:M8</xm:sqref>
        </x14:dataValidation>
        <x14:dataValidation type="list" allowBlank="1" showInputMessage="1" showErrorMessage="1">
          <x14:formula1>
            <xm:f>Listas!$A$43:$A$44</xm:f>
          </x14:formula1>
          <xm:sqref>P8:S8</xm:sqref>
        </x14:dataValidation>
        <x14:dataValidation type="list" allowBlank="1" showInputMessage="1" showErrorMessage="1">
          <x14:formula1>
            <xm:f>Listas!$A$47:$A$77</xm:f>
          </x14:formula1>
          <xm:sqref>E10 P10</xm:sqref>
        </x14:dataValidation>
        <x14:dataValidation type="list" allowBlank="1" showInputMessage="1" showErrorMessage="1">
          <x14:formula1>
            <xm:f>Listas!$A$80:$A$91</xm:f>
          </x14:formula1>
          <xm:sqref>F10 Q10:R10</xm:sqref>
        </x14:dataValidation>
        <x14:dataValidation type="list" allowBlank="1" showInputMessage="1" showErrorMessage="1">
          <x14:formula1>
            <xm:f>Listas!$A$94:$A$232</xm:f>
          </x14:formula1>
          <xm:sqref>G10 S10 O16</xm:sqref>
        </x14:dataValidation>
        <x14:dataValidation type="list" allowBlank="1" showInputMessage="1" showErrorMessage="1">
          <x14:formula1>
            <xm:f>Listas!$C$7:$C$9</xm:f>
          </x14:formula1>
          <xm:sqref>A72:D72</xm:sqref>
        </x14:dataValidation>
        <x14:dataValidation type="list" allowBlank="1" showInputMessage="1" showErrorMessage="1">
          <x14:formula1>
            <xm:f>Listas!$C$12:$C$16</xm:f>
          </x14:formula1>
          <xm:sqref>A74:D74</xm:sqref>
        </x14:dataValidation>
        <x14:dataValidation type="list" allowBlank="1" showInputMessage="1" showErrorMessage="1">
          <x14:formula1>
            <xm:f>Listas!$C$19:$C$21</xm:f>
          </x14:formula1>
          <xm:sqref>E72:H72</xm:sqref>
        </x14:dataValidation>
        <x14:dataValidation type="list" allowBlank="1" showInputMessage="1" showErrorMessage="1">
          <x14:formula1>
            <xm:f>Listas!$C$37:$C$39</xm:f>
          </x14:formula1>
          <xm:sqref>I74:N74</xm:sqref>
        </x14:dataValidation>
        <x14:dataValidation type="list" allowBlank="1" showInputMessage="1" showErrorMessage="1">
          <x14:formula1>
            <xm:f>'Factores De Emisión'!$D$10:$D$13</xm:f>
          </x14:formula1>
          <xm:sqref>C84:C87</xm:sqref>
        </x14:dataValidation>
        <x14:dataValidation type="list" allowBlank="1" showInputMessage="1" showErrorMessage="1">
          <x14:formula1>
            <xm:f>'Factores De Emisión'!$D$18:$D$19</xm:f>
          </x14:formula1>
          <xm:sqref>C100:C101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M22"/>
  <sheetViews>
    <sheetView zoomScale="67" workbookViewId="0">
      <selection activeCell="J20" sqref="J20"/>
    </sheetView>
  </sheetViews>
  <sheetFormatPr baseColWidth="10" defaultColWidth="11" defaultRowHeight="15.75" x14ac:dyDescent="0.25"/>
  <cols>
    <col min="4" max="4" width="24" bestFit="1" customWidth="1"/>
    <col min="13" max="13" width="26" bestFit="1" customWidth="1"/>
  </cols>
  <sheetData>
    <row r="1" spans="1:13" x14ac:dyDescent="0.25">
      <c r="A1" s="9" t="s">
        <v>163</v>
      </c>
      <c r="B1" s="9" t="s">
        <v>164</v>
      </c>
      <c r="C1" s="9" t="s">
        <v>165</v>
      </c>
      <c r="D1" s="9" t="s">
        <v>166</v>
      </c>
      <c r="E1" s="9" t="s">
        <v>100</v>
      </c>
      <c r="F1" s="9" t="s">
        <v>101</v>
      </c>
      <c r="G1" s="9" t="s">
        <v>102</v>
      </c>
      <c r="H1" s="9" t="s">
        <v>103</v>
      </c>
      <c r="I1" s="9" t="s">
        <v>104</v>
      </c>
      <c r="J1" s="9" t="s">
        <v>105</v>
      </c>
      <c r="K1" s="9" t="s">
        <v>167</v>
      </c>
      <c r="L1" s="9" t="s">
        <v>168</v>
      </c>
      <c r="M1" s="9" t="s">
        <v>169</v>
      </c>
    </row>
    <row r="2" spans="1:13" x14ac:dyDescent="0.25">
      <c r="A2" s="9" t="s">
        <v>170</v>
      </c>
      <c r="B2" s="9" t="s">
        <v>171</v>
      </c>
      <c r="C2" s="9" t="s">
        <v>172</v>
      </c>
      <c r="D2" s="9" t="s">
        <v>134</v>
      </c>
      <c r="E2" s="9">
        <v>84.7</v>
      </c>
      <c r="F2" s="9">
        <v>10.050000000000001</v>
      </c>
      <c r="G2" s="9">
        <v>8.73</v>
      </c>
      <c r="H2" s="9">
        <v>0.03</v>
      </c>
      <c r="I2" s="9">
        <v>3169</v>
      </c>
      <c r="J2" s="9"/>
      <c r="K2" s="9"/>
      <c r="L2" s="9"/>
      <c r="M2" s="9" t="s">
        <v>173</v>
      </c>
    </row>
    <row r="3" spans="1:13" x14ac:dyDescent="0.25">
      <c r="A3" s="9" t="s">
        <v>170</v>
      </c>
      <c r="B3" s="9" t="s">
        <v>171</v>
      </c>
      <c r="C3" s="9" t="s">
        <v>172</v>
      </c>
      <c r="D3" s="9" t="s">
        <v>138</v>
      </c>
      <c r="E3" s="9">
        <v>3.33</v>
      </c>
      <c r="F3" s="9">
        <v>0.7</v>
      </c>
      <c r="G3" s="9">
        <v>12.96</v>
      </c>
      <c r="H3" s="9">
        <v>1.1000000000000001</v>
      </c>
      <c r="I3" s="9">
        <v>3169</v>
      </c>
      <c r="J3" s="9"/>
      <c r="K3" s="9"/>
      <c r="L3" s="9"/>
      <c r="M3" s="9" t="s">
        <v>173</v>
      </c>
    </row>
    <row r="4" spans="1:13" x14ac:dyDescent="0.25">
      <c r="A4" s="9" t="s">
        <v>170</v>
      </c>
      <c r="B4" s="9" t="s">
        <v>171</v>
      </c>
      <c r="C4" s="9" t="s">
        <v>172</v>
      </c>
      <c r="D4" s="9" t="s">
        <v>174</v>
      </c>
      <c r="E4" s="9">
        <v>84.7</v>
      </c>
      <c r="F4" s="9">
        <v>13.64</v>
      </c>
      <c r="G4" s="9">
        <v>15.2</v>
      </c>
      <c r="H4" s="9">
        <v>0</v>
      </c>
      <c r="I4" s="9">
        <v>3024</v>
      </c>
      <c r="J4" s="9"/>
      <c r="K4" s="9"/>
      <c r="L4" s="9"/>
      <c r="M4" s="9" t="s">
        <v>173</v>
      </c>
    </row>
    <row r="5" spans="1:13" x14ac:dyDescent="0.25">
      <c r="A5" s="9" t="s">
        <v>170</v>
      </c>
      <c r="B5" s="9" t="s">
        <v>171</v>
      </c>
      <c r="C5" s="9" t="s">
        <v>175</v>
      </c>
      <c r="D5" s="9" t="s">
        <v>134</v>
      </c>
      <c r="E5" s="9">
        <v>152.30000000000001</v>
      </c>
      <c r="F5" s="9">
        <v>14.59</v>
      </c>
      <c r="G5" s="9">
        <v>13.22</v>
      </c>
      <c r="H5" s="9">
        <v>0.02</v>
      </c>
      <c r="I5" s="9">
        <v>3169</v>
      </c>
      <c r="J5" s="9"/>
      <c r="K5" s="9"/>
      <c r="L5" s="9"/>
      <c r="M5" s="9" t="s">
        <v>173</v>
      </c>
    </row>
    <row r="6" spans="1:13" x14ac:dyDescent="0.25">
      <c r="A6" s="9" t="s">
        <v>170</v>
      </c>
      <c r="B6" s="9" t="s">
        <v>171</v>
      </c>
      <c r="C6" s="9" t="s">
        <v>175</v>
      </c>
      <c r="D6" s="9" t="s">
        <v>138</v>
      </c>
      <c r="E6" s="9">
        <v>7.4</v>
      </c>
      <c r="F6" s="9">
        <v>1.54</v>
      </c>
      <c r="G6" s="9">
        <v>14.91</v>
      </c>
      <c r="H6" s="9">
        <v>1.52</v>
      </c>
      <c r="I6" s="9">
        <v>3169</v>
      </c>
      <c r="J6" s="9"/>
      <c r="K6" s="9"/>
      <c r="L6" s="9"/>
      <c r="M6" s="9" t="s">
        <v>173</v>
      </c>
    </row>
    <row r="7" spans="1:13" x14ac:dyDescent="0.25">
      <c r="A7" s="9" t="s">
        <v>170</v>
      </c>
      <c r="B7" s="9" t="s">
        <v>171</v>
      </c>
      <c r="C7" s="9" t="s">
        <v>176</v>
      </c>
      <c r="D7" s="9" t="s">
        <v>138</v>
      </c>
      <c r="E7" s="9">
        <v>7.58</v>
      </c>
      <c r="F7" s="9">
        <v>1.92</v>
      </c>
      <c r="G7" s="9">
        <v>33.369999999999997</v>
      </c>
      <c r="H7" s="9">
        <v>0.94</v>
      </c>
      <c r="I7" s="9">
        <v>3169</v>
      </c>
      <c r="J7" s="9"/>
      <c r="K7" s="9"/>
      <c r="L7" s="9"/>
      <c r="M7" s="9" t="s">
        <v>173</v>
      </c>
    </row>
    <row r="8" spans="1:13" x14ac:dyDescent="0.25">
      <c r="A8" s="9" t="s">
        <v>170</v>
      </c>
      <c r="B8" s="9" t="s">
        <v>171</v>
      </c>
      <c r="C8" s="9" t="s">
        <v>176</v>
      </c>
      <c r="D8" s="9" t="s">
        <v>177</v>
      </c>
      <c r="E8" s="9">
        <v>5.7</v>
      </c>
      <c r="F8" s="9">
        <v>0.26</v>
      </c>
      <c r="G8" s="9">
        <v>13</v>
      </c>
      <c r="H8" s="9">
        <v>0.02</v>
      </c>
      <c r="I8" s="9">
        <v>2743</v>
      </c>
      <c r="J8" s="9"/>
      <c r="K8" s="9"/>
      <c r="L8" s="9"/>
      <c r="M8" s="9" t="s">
        <v>173</v>
      </c>
    </row>
    <row r="9" spans="1:13" x14ac:dyDescent="0.25">
      <c r="A9" s="9" t="s">
        <v>170</v>
      </c>
      <c r="B9" s="9" t="s">
        <v>171</v>
      </c>
      <c r="C9" s="11" t="s">
        <v>178</v>
      </c>
      <c r="D9" s="9" t="s">
        <v>134</v>
      </c>
      <c r="E9" s="9">
        <v>497.7</v>
      </c>
      <c r="F9" s="9">
        <v>131.4</v>
      </c>
      <c r="G9" s="9">
        <v>6.64</v>
      </c>
      <c r="H9" s="9">
        <v>2.2000000000000002</v>
      </c>
      <c r="I9" s="9">
        <v>3169</v>
      </c>
      <c r="J9" s="9"/>
      <c r="K9" s="9"/>
      <c r="L9" s="9"/>
      <c r="M9" s="9" t="s">
        <v>173</v>
      </c>
    </row>
    <row r="10" spans="1:13" x14ac:dyDescent="0.25">
      <c r="A10" s="9" t="s">
        <v>170</v>
      </c>
      <c r="B10" s="10" t="s">
        <v>179</v>
      </c>
      <c r="C10" s="9" t="s">
        <v>180</v>
      </c>
      <c r="D10" s="9" t="s">
        <v>138</v>
      </c>
      <c r="E10" s="9">
        <v>11.876298660140986</v>
      </c>
      <c r="F10" s="9">
        <v>3.7225042301184437</v>
      </c>
      <c r="G10" s="9">
        <v>35.967305455888273</v>
      </c>
      <c r="H10" s="9">
        <v>2.3192623334821456</v>
      </c>
      <c r="I10" s="9">
        <v>3.4833027442032223</v>
      </c>
      <c r="J10" s="9"/>
      <c r="K10" s="9"/>
      <c r="L10" s="9"/>
      <c r="M10" s="9" t="s">
        <v>173</v>
      </c>
    </row>
    <row r="11" spans="1:13" x14ac:dyDescent="0.25">
      <c r="A11" s="9" t="s">
        <v>170</v>
      </c>
      <c r="B11" s="10" t="s">
        <v>179</v>
      </c>
      <c r="C11" s="9" t="s">
        <v>180</v>
      </c>
      <c r="D11" s="9" t="s">
        <v>181</v>
      </c>
      <c r="E11" s="9">
        <v>5.3164459288899177</v>
      </c>
      <c r="F11" s="9">
        <v>7.4075298864068522</v>
      </c>
      <c r="G11" s="9">
        <v>31.494127438174132</v>
      </c>
      <c r="H11" s="9">
        <v>0.24801997387522942</v>
      </c>
      <c r="I11" s="9">
        <v>3.2959098750530491</v>
      </c>
      <c r="J11" s="9"/>
      <c r="K11" s="9"/>
      <c r="L11" s="9"/>
      <c r="M11" s="9" t="s">
        <v>173</v>
      </c>
    </row>
    <row r="12" spans="1:13" x14ac:dyDescent="0.25">
      <c r="A12" s="9" t="s">
        <v>170</v>
      </c>
      <c r="B12" s="10" t="s">
        <v>179</v>
      </c>
      <c r="C12" s="9" t="s">
        <v>180</v>
      </c>
      <c r="D12" s="9" t="s">
        <v>182</v>
      </c>
      <c r="E12" s="9">
        <v>849.18511659694559</v>
      </c>
      <c r="F12" s="9">
        <v>20.825961628554264</v>
      </c>
      <c r="G12" s="9">
        <v>7.8451473514222574</v>
      </c>
      <c r="H12" s="9">
        <v>0.17306282621516009</v>
      </c>
      <c r="I12" s="9">
        <v>3.5240882510182598</v>
      </c>
      <c r="J12" s="9"/>
      <c r="K12" s="9"/>
      <c r="L12" s="9"/>
      <c r="M12" s="9" t="s">
        <v>173</v>
      </c>
    </row>
    <row r="13" spans="1:13" x14ac:dyDescent="0.25">
      <c r="A13" s="9" t="s">
        <v>170</v>
      </c>
      <c r="B13" s="10" t="s">
        <v>179</v>
      </c>
      <c r="C13" s="9" t="s">
        <v>180</v>
      </c>
      <c r="D13" s="9" t="s">
        <v>183</v>
      </c>
      <c r="E13" s="9">
        <v>684.30694951966802</v>
      </c>
      <c r="F13" s="9">
        <v>250.54316374278676</v>
      </c>
      <c r="G13" s="9">
        <v>3.0478899011778195</v>
      </c>
      <c r="H13" s="9">
        <v>4.1468939631938362</v>
      </c>
      <c r="I13" s="9">
        <v>3.5240882510182598</v>
      </c>
      <c r="J13" s="9"/>
      <c r="K13" s="9"/>
      <c r="L13" s="9"/>
      <c r="M13" s="9" t="s">
        <v>173</v>
      </c>
    </row>
    <row r="14" spans="1:13" x14ac:dyDescent="0.25">
      <c r="A14" s="9" t="s">
        <v>184</v>
      </c>
      <c r="B14" s="9" t="s">
        <v>185</v>
      </c>
      <c r="C14" s="9" t="s">
        <v>121</v>
      </c>
      <c r="D14" s="9" t="s">
        <v>186</v>
      </c>
      <c r="E14" s="9">
        <v>0.19841597910018355</v>
      </c>
      <c r="F14" s="9">
        <v>4.4092439800040789E-3</v>
      </c>
      <c r="G14" s="9">
        <v>5.5115549750050986E-2</v>
      </c>
      <c r="H14" s="9">
        <v>2.2046219900020394E-2</v>
      </c>
      <c r="I14" s="9">
        <v>18.496778496117109</v>
      </c>
      <c r="J14" s="9">
        <v>3.7478573830034669E-3</v>
      </c>
      <c r="K14" s="9">
        <v>6.613865970006118E-3</v>
      </c>
      <c r="L14" s="9"/>
      <c r="M14" s="9" t="s">
        <v>187</v>
      </c>
    </row>
    <row r="15" spans="1:13" x14ac:dyDescent="0.25">
      <c r="A15" s="9" t="s">
        <v>184</v>
      </c>
      <c r="B15" s="9" t="s">
        <v>185</v>
      </c>
      <c r="C15" s="9" t="s">
        <v>122</v>
      </c>
      <c r="D15" s="9" t="s">
        <v>188</v>
      </c>
      <c r="E15" s="9">
        <v>6.5036348705060157E-2</v>
      </c>
      <c r="F15" s="9">
        <v>1.6534664925015295E-2</v>
      </c>
      <c r="G15" s="9">
        <v>1.3227731940012236E-2</v>
      </c>
      <c r="H15" s="9">
        <v>1.6534664925015295E-2</v>
      </c>
      <c r="I15" s="9">
        <v>16.501595595165266</v>
      </c>
      <c r="J15" s="9">
        <v>5.9524793730055068E-3</v>
      </c>
      <c r="K15" s="9">
        <v>6.0627104725056082E-3</v>
      </c>
      <c r="L15" s="9"/>
      <c r="M15" s="9" t="s">
        <v>187</v>
      </c>
    </row>
    <row r="16" spans="1:13" x14ac:dyDescent="0.25">
      <c r="A16" s="9" t="s">
        <v>184</v>
      </c>
      <c r="B16" s="9" t="s">
        <v>189</v>
      </c>
      <c r="C16" s="9" t="s">
        <v>137</v>
      </c>
      <c r="D16" s="9" t="s">
        <v>138</v>
      </c>
      <c r="E16" s="9">
        <v>602.19399999999996</v>
      </c>
      <c r="F16" s="9"/>
      <c r="G16" s="9">
        <v>991.49099999999999</v>
      </c>
      <c r="H16" s="9">
        <v>60.828000000000003</v>
      </c>
      <c r="I16" s="9">
        <v>93674.625</v>
      </c>
      <c r="J16" s="9"/>
      <c r="K16" s="9"/>
      <c r="L16" s="9">
        <v>1843.079</v>
      </c>
      <c r="M16" s="9" t="s">
        <v>190</v>
      </c>
    </row>
    <row r="17" spans="1:13" x14ac:dyDescent="0.25">
      <c r="A17" s="9" t="s">
        <v>184</v>
      </c>
      <c r="B17" s="9" t="s">
        <v>189</v>
      </c>
      <c r="C17" s="9" t="s">
        <v>137</v>
      </c>
      <c r="D17" s="9" t="s">
        <v>134</v>
      </c>
      <c r="E17" s="9">
        <v>4.234</v>
      </c>
      <c r="F17" s="9"/>
      <c r="G17" s="9">
        <v>6.6909999999999998</v>
      </c>
      <c r="H17" s="9">
        <v>0.439</v>
      </c>
      <c r="I17" s="9">
        <v>656.93899999999996</v>
      </c>
      <c r="J17" s="9"/>
      <c r="K17" s="9"/>
      <c r="L17" s="9">
        <v>13.132999999999999</v>
      </c>
      <c r="M17" s="9" t="s">
        <v>190</v>
      </c>
    </row>
    <row r="18" spans="1:13" x14ac:dyDescent="0.25">
      <c r="A18" s="9" t="s">
        <v>184</v>
      </c>
      <c r="B18" s="9" t="s">
        <v>189</v>
      </c>
      <c r="C18" s="9" t="s">
        <v>133</v>
      </c>
      <c r="D18" s="9" t="s">
        <v>138</v>
      </c>
      <c r="E18" s="9">
        <v>6.0140000000000002</v>
      </c>
      <c r="F18" s="9"/>
      <c r="G18" s="9">
        <v>27.916</v>
      </c>
      <c r="H18" s="9">
        <v>1.962</v>
      </c>
      <c r="I18" s="9">
        <v>1038.144</v>
      </c>
      <c r="J18" s="9"/>
      <c r="K18" s="9"/>
      <c r="L18" s="9">
        <v>2.2790000000000004</v>
      </c>
      <c r="M18" s="9" t="s">
        <v>173</v>
      </c>
    </row>
    <row r="19" spans="1:13" x14ac:dyDescent="0.25">
      <c r="A19" s="9" t="s">
        <v>184</v>
      </c>
      <c r="B19" s="9" t="s">
        <v>189</v>
      </c>
      <c r="C19" s="9" t="s">
        <v>133</v>
      </c>
      <c r="D19" s="9" t="s">
        <v>134</v>
      </c>
      <c r="E19" s="9">
        <v>5.2649999999999997</v>
      </c>
      <c r="F19" s="9"/>
      <c r="G19" s="9">
        <v>8.6690000000000005</v>
      </c>
      <c r="H19" s="9">
        <v>0.53200000000000003</v>
      </c>
      <c r="I19" s="9">
        <v>819.06799999999998</v>
      </c>
      <c r="J19" s="9"/>
      <c r="K19" s="9"/>
      <c r="L19" s="9">
        <v>16.116</v>
      </c>
      <c r="M19" s="9" t="s">
        <v>173</v>
      </c>
    </row>
    <row r="20" spans="1:13" x14ac:dyDescent="0.25">
      <c r="A20" s="9" t="s">
        <v>184</v>
      </c>
      <c r="B20" s="9" t="s">
        <v>141</v>
      </c>
      <c r="C20" s="9" t="s">
        <v>191</v>
      </c>
      <c r="D20" s="9" t="s">
        <v>191</v>
      </c>
      <c r="E20" s="9"/>
      <c r="F20" s="9"/>
      <c r="G20" s="9"/>
      <c r="H20" s="9"/>
      <c r="I20" s="9">
        <v>150592710</v>
      </c>
      <c r="J20" s="9"/>
      <c r="K20" s="9"/>
      <c r="L20" s="9"/>
      <c r="M20" s="9" t="s">
        <v>190</v>
      </c>
    </row>
    <row r="21" spans="1:13" x14ac:dyDescent="0.25">
      <c r="A21" s="9" t="s">
        <v>184</v>
      </c>
      <c r="B21" s="9" t="s">
        <v>192</v>
      </c>
      <c r="C21" s="9" t="s">
        <v>124</v>
      </c>
      <c r="D21" s="9" t="s">
        <v>193</v>
      </c>
      <c r="E21" s="9"/>
      <c r="F21" s="9"/>
      <c r="G21" s="9"/>
      <c r="H21" s="9">
        <v>2.7885469261506755</v>
      </c>
      <c r="I21" s="9"/>
      <c r="J21" s="9"/>
      <c r="K21" s="9"/>
      <c r="L21" s="9"/>
      <c r="M21" s="9" t="s">
        <v>187</v>
      </c>
    </row>
    <row r="22" spans="1:13" x14ac:dyDescent="0.25">
      <c r="A22" s="9" t="s">
        <v>184</v>
      </c>
      <c r="B22" s="9" t="s">
        <v>192</v>
      </c>
      <c r="C22" s="9" t="s">
        <v>125</v>
      </c>
      <c r="D22" s="9" t="s">
        <v>193</v>
      </c>
      <c r="E22" s="9"/>
      <c r="F22" s="9"/>
      <c r="G22" s="9"/>
      <c r="H22" s="9">
        <v>6.3144930394572224E-2</v>
      </c>
      <c r="I22" s="9"/>
      <c r="J22" s="9"/>
      <c r="K22" s="9"/>
      <c r="L22" s="9"/>
      <c r="M22" s="9" t="s">
        <v>187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F294"/>
  <sheetViews>
    <sheetView topLeftCell="A29" workbookViewId="0">
      <selection activeCell="A54" sqref="A54"/>
    </sheetView>
  </sheetViews>
  <sheetFormatPr baseColWidth="10" defaultColWidth="11" defaultRowHeight="15.75" x14ac:dyDescent="0.25"/>
  <cols>
    <col min="1" max="1" width="38.875" customWidth="1"/>
    <col min="3" max="3" width="43" customWidth="1"/>
  </cols>
  <sheetData>
    <row r="1" spans="1:6" x14ac:dyDescent="0.25">
      <c r="A1" s="3" t="s">
        <v>7</v>
      </c>
      <c r="C1" t="s">
        <v>194</v>
      </c>
    </row>
    <row r="2" spans="1:6" x14ac:dyDescent="0.25">
      <c r="A2" s="4" t="s">
        <v>195</v>
      </c>
      <c r="C2" t="s">
        <v>196</v>
      </c>
    </row>
    <row r="3" spans="1:6" x14ac:dyDescent="0.25">
      <c r="A3" s="4" t="s">
        <v>197</v>
      </c>
      <c r="C3" t="s">
        <v>198</v>
      </c>
    </row>
    <row r="4" spans="1:6" x14ac:dyDescent="0.25">
      <c r="A4" s="4" t="s">
        <v>199</v>
      </c>
      <c r="C4" t="s">
        <v>200</v>
      </c>
    </row>
    <row r="5" spans="1:6" x14ac:dyDescent="0.25">
      <c r="A5" s="4" t="s">
        <v>201</v>
      </c>
    </row>
    <row r="6" spans="1:6" ht="15.95" customHeight="1" x14ac:dyDescent="0.25">
      <c r="A6" s="4" t="s">
        <v>202</v>
      </c>
      <c r="C6" s="1" t="s">
        <v>88</v>
      </c>
      <c r="D6" s="1"/>
      <c r="E6" s="1"/>
      <c r="F6" s="1"/>
    </row>
    <row r="7" spans="1:6" x14ac:dyDescent="0.25">
      <c r="A7" s="4" t="s">
        <v>203</v>
      </c>
      <c r="C7" t="s">
        <v>204</v>
      </c>
    </row>
    <row r="8" spans="1:6" x14ac:dyDescent="0.25">
      <c r="A8" s="4" t="s">
        <v>205</v>
      </c>
      <c r="C8" t="s">
        <v>206</v>
      </c>
    </row>
    <row r="9" spans="1:6" x14ac:dyDescent="0.25">
      <c r="A9" s="4" t="s">
        <v>207</v>
      </c>
      <c r="C9" t="s">
        <v>208</v>
      </c>
    </row>
    <row r="10" spans="1:6" x14ac:dyDescent="0.25">
      <c r="A10" s="4" t="s">
        <v>209</v>
      </c>
    </row>
    <row r="11" spans="1:6" x14ac:dyDescent="0.25">
      <c r="A11" s="4" t="s">
        <v>210</v>
      </c>
      <c r="C11" s="2" t="s">
        <v>89</v>
      </c>
    </row>
    <row r="12" spans="1:6" x14ac:dyDescent="0.25">
      <c r="A12" s="4" t="s">
        <v>211</v>
      </c>
      <c r="C12" t="s">
        <v>212</v>
      </c>
    </row>
    <row r="13" spans="1:6" x14ac:dyDescent="0.25">
      <c r="A13" s="4" t="s">
        <v>213</v>
      </c>
      <c r="C13" t="s">
        <v>214</v>
      </c>
    </row>
    <row r="14" spans="1:6" x14ac:dyDescent="0.25">
      <c r="A14" s="4" t="s">
        <v>215</v>
      </c>
      <c r="C14" t="s">
        <v>216</v>
      </c>
    </row>
    <row r="15" spans="1:6" x14ac:dyDescent="0.25">
      <c r="A15" s="4" t="s">
        <v>217</v>
      </c>
      <c r="C15" t="s">
        <v>218</v>
      </c>
    </row>
    <row r="16" spans="1:6" x14ac:dyDescent="0.25">
      <c r="A16" s="4" t="s">
        <v>219</v>
      </c>
      <c r="C16" t="s">
        <v>220</v>
      </c>
    </row>
    <row r="17" spans="1:3" x14ac:dyDescent="0.25">
      <c r="A17" s="4" t="s">
        <v>221</v>
      </c>
    </row>
    <row r="18" spans="1:3" x14ac:dyDescent="0.25">
      <c r="A18" s="4" t="s">
        <v>222</v>
      </c>
      <c r="C18" s="1" t="s">
        <v>88</v>
      </c>
    </row>
    <row r="19" spans="1:3" x14ac:dyDescent="0.25">
      <c r="A19" s="4" t="s">
        <v>223</v>
      </c>
      <c r="C19" t="s">
        <v>224</v>
      </c>
    </row>
    <row r="20" spans="1:3" x14ac:dyDescent="0.25">
      <c r="A20" s="4" t="s">
        <v>225</v>
      </c>
      <c r="C20" t="s">
        <v>226</v>
      </c>
    </row>
    <row r="21" spans="1:3" x14ac:dyDescent="0.25">
      <c r="A21" s="4" t="s">
        <v>227</v>
      </c>
      <c r="C21" t="s">
        <v>228</v>
      </c>
    </row>
    <row r="22" spans="1:3" x14ac:dyDescent="0.25">
      <c r="A22" s="4" t="s">
        <v>229</v>
      </c>
    </row>
    <row r="23" spans="1:3" x14ac:dyDescent="0.25">
      <c r="A23" s="4" t="s">
        <v>230</v>
      </c>
      <c r="C23" s="2" t="s">
        <v>89</v>
      </c>
    </row>
    <row r="24" spans="1:3" x14ac:dyDescent="0.25">
      <c r="A24" s="4" t="s">
        <v>231</v>
      </c>
    </row>
    <row r="25" spans="1:3" x14ac:dyDescent="0.25">
      <c r="A25" s="4" t="s">
        <v>232</v>
      </c>
    </row>
    <row r="26" spans="1:3" x14ac:dyDescent="0.25">
      <c r="A26" s="4" t="s">
        <v>233</v>
      </c>
    </row>
    <row r="27" spans="1:3" x14ac:dyDescent="0.25">
      <c r="A27" s="4" t="s">
        <v>234</v>
      </c>
    </row>
    <row r="28" spans="1:3" x14ac:dyDescent="0.25">
      <c r="A28" s="5"/>
    </row>
    <row r="29" spans="1:3" x14ac:dyDescent="0.25">
      <c r="A29" s="6" t="s">
        <v>6</v>
      </c>
    </row>
    <row r="30" spans="1:3" x14ac:dyDescent="0.25">
      <c r="A30" s="7" t="s">
        <v>235</v>
      </c>
      <c r="C30" s="1" t="s">
        <v>88</v>
      </c>
    </row>
    <row r="31" spans="1:3" x14ac:dyDescent="0.25">
      <c r="A31" s="7" t="s">
        <v>236</v>
      </c>
    </row>
    <row r="32" spans="1:3" x14ac:dyDescent="0.25">
      <c r="A32" s="7" t="s">
        <v>237</v>
      </c>
    </row>
    <row r="33" spans="1:3" x14ac:dyDescent="0.25">
      <c r="A33" s="7" t="s">
        <v>238</v>
      </c>
    </row>
    <row r="34" spans="1:3" x14ac:dyDescent="0.25">
      <c r="A34" s="7" t="s">
        <v>239</v>
      </c>
    </row>
    <row r="35" spans="1:3" x14ac:dyDescent="0.25">
      <c r="A35" s="7" t="s">
        <v>240</v>
      </c>
    </row>
    <row r="36" spans="1:3" x14ac:dyDescent="0.25">
      <c r="A36" s="7" t="s">
        <v>241</v>
      </c>
      <c r="C36" s="2" t="s">
        <v>89</v>
      </c>
    </row>
    <row r="37" spans="1:3" x14ac:dyDescent="0.25">
      <c r="A37" s="7" t="s">
        <v>242</v>
      </c>
      <c r="C37" t="s">
        <v>243</v>
      </c>
    </row>
    <row r="38" spans="1:3" x14ac:dyDescent="0.25">
      <c r="A38" s="7" t="s">
        <v>244</v>
      </c>
      <c r="C38" t="s">
        <v>245</v>
      </c>
    </row>
    <row r="39" spans="1:3" x14ac:dyDescent="0.25">
      <c r="A39" s="7" t="s">
        <v>246</v>
      </c>
      <c r="C39" t="s">
        <v>218</v>
      </c>
    </row>
    <row r="40" spans="1:3" x14ac:dyDescent="0.25">
      <c r="A40" s="7" t="s">
        <v>247</v>
      </c>
    </row>
    <row r="41" spans="1:3" x14ac:dyDescent="0.25">
      <c r="C41" t="s">
        <v>248</v>
      </c>
    </row>
    <row r="42" spans="1:3" x14ac:dyDescent="0.25">
      <c r="A42" s="3" t="s">
        <v>249</v>
      </c>
      <c r="C42" t="s">
        <v>250</v>
      </c>
    </row>
    <row r="43" spans="1:3" x14ac:dyDescent="0.25">
      <c r="A43" s="8" t="s">
        <v>251</v>
      </c>
      <c r="C43" t="s">
        <v>252</v>
      </c>
    </row>
    <row r="44" spans="1:3" x14ac:dyDescent="0.25">
      <c r="A44" s="8" t="s">
        <v>253</v>
      </c>
    </row>
    <row r="46" spans="1:3" x14ac:dyDescent="0.25">
      <c r="A46" s="3" t="s">
        <v>254</v>
      </c>
      <c r="C46" t="s">
        <v>255</v>
      </c>
    </row>
    <row r="47" spans="1:3" x14ac:dyDescent="0.25">
      <c r="A47" s="5">
        <v>1</v>
      </c>
      <c r="C47" s="9" t="s">
        <v>134</v>
      </c>
    </row>
    <row r="48" spans="1:3" x14ac:dyDescent="0.25">
      <c r="A48" s="5">
        <v>2</v>
      </c>
      <c r="C48" s="9" t="s">
        <v>138</v>
      </c>
    </row>
    <row r="49" spans="1:3" x14ac:dyDescent="0.25">
      <c r="A49" s="5">
        <v>3</v>
      </c>
      <c r="C49" s="9" t="s">
        <v>174</v>
      </c>
    </row>
    <row r="50" spans="1:3" x14ac:dyDescent="0.25">
      <c r="A50" s="5">
        <v>4</v>
      </c>
      <c r="C50" s="9" t="s">
        <v>134</v>
      </c>
    </row>
    <row r="51" spans="1:3" x14ac:dyDescent="0.25">
      <c r="A51" s="5">
        <v>5</v>
      </c>
      <c r="C51" s="9" t="s">
        <v>138</v>
      </c>
    </row>
    <row r="52" spans="1:3" x14ac:dyDescent="0.25">
      <c r="A52" s="5">
        <v>6</v>
      </c>
      <c r="C52" s="9" t="s">
        <v>138</v>
      </c>
    </row>
    <row r="53" spans="1:3" x14ac:dyDescent="0.25">
      <c r="A53" s="5">
        <v>7</v>
      </c>
      <c r="C53" s="9" t="s">
        <v>177</v>
      </c>
    </row>
    <row r="54" spans="1:3" x14ac:dyDescent="0.25">
      <c r="A54" s="5">
        <v>8</v>
      </c>
      <c r="C54" s="9" t="s">
        <v>134</v>
      </c>
    </row>
    <row r="55" spans="1:3" x14ac:dyDescent="0.25">
      <c r="A55" s="5">
        <v>9</v>
      </c>
    </row>
    <row r="56" spans="1:3" x14ac:dyDescent="0.25">
      <c r="A56" s="5">
        <v>10</v>
      </c>
    </row>
    <row r="57" spans="1:3" x14ac:dyDescent="0.25">
      <c r="A57" s="5">
        <v>11</v>
      </c>
      <c r="C57" t="s">
        <v>256</v>
      </c>
    </row>
    <row r="58" spans="1:3" x14ac:dyDescent="0.25">
      <c r="A58" s="5">
        <v>12</v>
      </c>
    </row>
    <row r="59" spans="1:3" x14ac:dyDescent="0.25">
      <c r="A59" s="5">
        <v>13</v>
      </c>
    </row>
    <row r="60" spans="1:3" x14ac:dyDescent="0.25">
      <c r="A60" s="5">
        <v>14</v>
      </c>
    </row>
    <row r="61" spans="1:3" x14ac:dyDescent="0.25">
      <c r="A61" s="5">
        <v>15</v>
      </c>
    </row>
    <row r="62" spans="1:3" x14ac:dyDescent="0.25">
      <c r="A62" s="5">
        <v>16</v>
      </c>
    </row>
    <row r="63" spans="1:3" x14ac:dyDescent="0.25">
      <c r="A63" s="5">
        <v>17</v>
      </c>
    </row>
    <row r="64" spans="1:3" x14ac:dyDescent="0.25">
      <c r="A64" s="5">
        <v>18</v>
      </c>
    </row>
    <row r="65" spans="1:1" x14ac:dyDescent="0.25">
      <c r="A65" s="5">
        <v>19</v>
      </c>
    </row>
    <row r="66" spans="1:1" x14ac:dyDescent="0.25">
      <c r="A66" s="5">
        <v>20</v>
      </c>
    </row>
    <row r="67" spans="1:1" x14ac:dyDescent="0.25">
      <c r="A67" s="5">
        <v>21</v>
      </c>
    </row>
    <row r="68" spans="1:1" x14ac:dyDescent="0.25">
      <c r="A68" s="5">
        <v>22</v>
      </c>
    </row>
    <row r="69" spans="1:1" x14ac:dyDescent="0.25">
      <c r="A69" s="5">
        <v>23</v>
      </c>
    </row>
    <row r="70" spans="1:1" x14ac:dyDescent="0.25">
      <c r="A70" s="5">
        <v>24</v>
      </c>
    </row>
    <row r="71" spans="1:1" x14ac:dyDescent="0.25">
      <c r="A71" s="5">
        <v>25</v>
      </c>
    </row>
    <row r="72" spans="1:1" x14ac:dyDescent="0.25">
      <c r="A72" s="5">
        <v>26</v>
      </c>
    </row>
    <row r="73" spans="1:1" x14ac:dyDescent="0.25">
      <c r="A73" s="5">
        <v>27</v>
      </c>
    </row>
    <row r="74" spans="1:1" x14ac:dyDescent="0.25">
      <c r="A74" s="5">
        <v>28</v>
      </c>
    </row>
    <row r="75" spans="1:1" x14ac:dyDescent="0.25">
      <c r="A75" s="5">
        <v>29</v>
      </c>
    </row>
    <row r="76" spans="1:1" x14ac:dyDescent="0.25">
      <c r="A76" s="5">
        <v>30</v>
      </c>
    </row>
    <row r="77" spans="1:1" x14ac:dyDescent="0.25">
      <c r="A77" s="5">
        <v>31</v>
      </c>
    </row>
    <row r="78" spans="1:1" x14ac:dyDescent="0.25">
      <c r="A78" s="5"/>
    </row>
    <row r="79" spans="1:1" x14ac:dyDescent="0.25">
      <c r="A79" s="3" t="s">
        <v>257</v>
      </c>
    </row>
    <row r="80" spans="1:1" x14ac:dyDescent="0.25">
      <c r="A80" s="5" t="s">
        <v>258</v>
      </c>
    </row>
    <row r="81" spans="1:1" x14ac:dyDescent="0.25">
      <c r="A81" s="5" t="s">
        <v>259</v>
      </c>
    </row>
    <row r="82" spans="1:1" x14ac:dyDescent="0.25">
      <c r="A82" s="5" t="s">
        <v>260</v>
      </c>
    </row>
    <row r="83" spans="1:1" x14ac:dyDescent="0.25">
      <c r="A83" s="5" t="s">
        <v>261</v>
      </c>
    </row>
    <row r="84" spans="1:1" x14ac:dyDescent="0.25">
      <c r="A84" s="5" t="s">
        <v>262</v>
      </c>
    </row>
    <row r="85" spans="1:1" x14ac:dyDescent="0.25">
      <c r="A85" s="5" t="s">
        <v>263</v>
      </c>
    </row>
    <row r="86" spans="1:1" x14ac:dyDescent="0.25">
      <c r="A86" s="5" t="s">
        <v>264</v>
      </c>
    </row>
    <row r="87" spans="1:1" x14ac:dyDescent="0.25">
      <c r="A87" s="5" t="s">
        <v>265</v>
      </c>
    </row>
    <row r="88" spans="1:1" x14ac:dyDescent="0.25">
      <c r="A88" s="5" t="s">
        <v>266</v>
      </c>
    </row>
    <row r="89" spans="1:1" x14ac:dyDescent="0.25">
      <c r="A89" s="5" t="s">
        <v>267</v>
      </c>
    </row>
    <row r="90" spans="1:1" x14ac:dyDescent="0.25">
      <c r="A90" s="5" t="s">
        <v>268</v>
      </c>
    </row>
    <row r="91" spans="1:1" x14ac:dyDescent="0.25">
      <c r="A91" s="5" t="s">
        <v>269</v>
      </c>
    </row>
    <row r="92" spans="1:1" x14ac:dyDescent="0.25">
      <c r="A92" s="5"/>
    </row>
    <row r="93" spans="1:1" x14ac:dyDescent="0.25">
      <c r="A93" s="3" t="s">
        <v>270</v>
      </c>
    </row>
    <row r="94" spans="1:1" x14ac:dyDescent="0.25">
      <c r="A94" s="5">
        <v>1993</v>
      </c>
    </row>
    <row r="95" spans="1:1" x14ac:dyDescent="0.25">
      <c r="A95" s="5">
        <v>1994</v>
      </c>
    </row>
    <row r="96" spans="1:1" x14ac:dyDescent="0.25">
      <c r="A96" s="5">
        <v>1995</v>
      </c>
    </row>
    <row r="97" spans="1:1" x14ac:dyDescent="0.25">
      <c r="A97" s="5">
        <v>1996</v>
      </c>
    </row>
    <row r="98" spans="1:1" x14ac:dyDescent="0.25">
      <c r="A98" s="5">
        <v>1997</v>
      </c>
    </row>
    <row r="99" spans="1:1" x14ac:dyDescent="0.25">
      <c r="A99" s="5">
        <v>1998</v>
      </c>
    </row>
    <row r="100" spans="1:1" x14ac:dyDescent="0.25">
      <c r="A100" s="5">
        <v>1999</v>
      </c>
    </row>
    <row r="101" spans="1:1" x14ac:dyDescent="0.25">
      <c r="A101" s="5">
        <v>2000</v>
      </c>
    </row>
    <row r="102" spans="1:1" x14ac:dyDescent="0.25">
      <c r="A102" s="5">
        <v>2001</v>
      </c>
    </row>
    <row r="103" spans="1:1" x14ac:dyDescent="0.25">
      <c r="A103" s="5">
        <v>2002</v>
      </c>
    </row>
    <row r="104" spans="1:1" x14ac:dyDescent="0.25">
      <c r="A104" s="5">
        <v>2003</v>
      </c>
    </row>
    <row r="105" spans="1:1" x14ac:dyDescent="0.25">
      <c r="A105" s="5">
        <v>2004</v>
      </c>
    </row>
    <row r="106" spans="1:1" x14ac:dyDescent="0.25">
      <c r="A106" s="5">
        <v>2005</v>
      </c>
    </row>
    <row r="107" spans="1:1" x14ac:dyDescent="0.25">
      <c r="A107" s="5">
        <v>2006</v>
      </c>
    </row>
    <row r="108" spans="1:1" x14ac:dyDescent="0.25">
      <c r="A108" s="5">
        <v>2007</v>
      </c>
    </row>
    <row r="109" spans="1:1" x14ac:dyDescent="0.25">
      <c r="A109" s="5">
        <v>2008</v>
      </c>
    </row>
    <row r="110" spans="1:1" x14ac:dyDescent="0.25">
      <c r="A110" s="5">
        <v>2009</v>
      </c>
    </row>
    <row r="111" spans="1:1" x14ac:dyDescent="0.25">
      <c r="A111" s="5">
        <v>2010</v>
      </c>
    </row>
    <row r="112" spans="1:1" x14ac:dyDescent="0.25">
      <c r="A112" s="5">
        <v>2011</v>
      </c>
    </row>
    <row r="113" spans="1:1" x14ac:dyDescent="0.25">
      <c r="A113" s="5">
        <v>2012</v>
      </c>
    </row>
    <row r="114" spans="1:1" x14ac:dyDescent="0.25">
      <c r="A114" s="5">
        <v>2013</v>
      </c>
    </row>
    <row r="115" spans="1:1" x14ac:dyDescent="0.25">
      <c r="A115" s="5">
        <v>2014</v>
      </c>
    </row>
    <row r="116" spans="1:1" x14ac:dyDescent="0.25">
      <c r="A116" s="5">
        <v>2015</v>
      </c>
    </row>
    <row r="117" spans="1:1" x14ac:dyDescent="0.25">
      <c r="A117" s="5">
        <v>2016</v>
      </c>
    </row>
    <row r="118" spans="1:1" x14ac:dyDescent="0.25">
      <c r="A118" s="5">
        <v>2017</v>
      </c>
    </row>
    <row r="119" spans="1:1" x14ac:dyDescent="0.25">
      <c r="A119" s="5">
        <v>2018</v>
      </c>
    </row>
    <row r="120" spans="1:1" x14ac:dyDescent="0.25">
      <c r="A120" s="5">
        <v>2019</v>
      </c>
    </row>
    <row r="121" spans="1:1" x14ac:dyDescent="0.25">
      <c r="A121" s="5">
        <v>2020</v>
      </c>
    </row>
    <row r="122" spans="1:1" x14ac:dyDescent="0.25">
      <c r="A122" s="5">
        <v>2021</v>
      </c>
    </row>
    <row r="123" spans="1:1" x14ac:dyDescent="0.25">
      <c r="A123" s="5">
        <v>2022</v>
      </c>
    </row>
    <row r="124" spans="1:1" x14ac:dyDescent="0.25">
      <c r="A124" s="5">
        <v>2023</v>
      </c>
    </row>
    <row r="125" spans="1:1" x14ac:dyDescent="0.25">
      <c r="A125" s="5">
        <v>2024</v>
      </c>
    </row>
    <row r="126" spans="1:1" x14ac:dyDescent="0.25">
      <c r="A126" s="5">
        <v>2025</v>
      </c>
    </row>
    <row r="127" spans="1:1" x14ac:dyDescent="0.25">
      <c r="A127" s="5">
        <v>2026</v>
      </c>
    </row>
    <row r="128" spans="1:1" x14ac:dyDescent="0.25">
      <c r="A128" s="5">
        <v>2027</v>
      </c>
    </row>
    <row r="129" spans="1:1" x14ac:dyDescent="0.25">
      <c r="A129" s="5">
        <v>2028</v>
      </c>
    </row>
    <row r="130" spans="1:1" x14ac:dyDescent="0.25">
      <c r="A130" s="5">
        <v>2029</v>
      </c>
    </row>
    <row r="131" spans="1:1" x14ac:dyDescent="0.25">
      <c r="A131" s="5">
        <v>2030</v>
      </c>
    </row>
    <row r="132" spans="1:1" x14ac:dyDescent="0.25">
      <c r="A132" s="5">
        <v>2031</v>
      </c>
    </row>
    <row r="133" spans="1:1" x14ac:dyDescent="0.25">
      <c r="A133" s="5">
        <v>2032</v>
      </c>
    </row>
    <row r="134" spans="1:1" x14ac:dyDescent="0.25">
      <c r="A134" s="5">
        <v>2033</v>
      </c>
    </row>
    <row r="135" spans="1:1" x14ac:dyDescent="0.25">
      <c r="A135" s="5">
        <v>2034</v>
      </c>
    </row>
    <row r="136" spans="1:1" x14ac:dyDescent="0.25">
      <c r="A136" s="5">
        <v>2035</v>
      </c>
    </row>
    <row r="137" spans="1:1" x14ac:dyDescent="0.25">
      <c r="A137" s="5">
        <v>2036</v>
      </c>
    </row>
    <row r="138" spans="1:1" x14ac:dyDescent="0.25">
      <c r="A138" s="5">
        <v>2037</v>
      </c>
    </row>
    <row r="139" spans="1:1" x14ac:dyDescent="0.25">
      <c r="A139" s="5">
        <v>2038</v>
      </c>
    </row>
    <row r="140" spans="1:1" x14ac:dyDescent="0.25">
      <c r="A140" s="5">
        <v>2039</v>
      </c>
    </row>
    <row r="141" spans="1:1" x14ac:dyDescent="0.25">
      <c r="A141" s="5">
        <v>2040</v>
      </c>
    </row>
    <row r="142" spans="1:1" x14ac:dyDescent="0.25">
      <c r="A142" s="5">
        <v>2041</v>
      </c>
    </row>
    <row r="143" spans="1:1" x14ac:dyDescent="0.25">
      <c r="A143" s="5">
        <v>2042</v>
      </c>
    </row>
    <row r="144" spans="1:1" x14ac:dyDescent="0.25">
      <c r="A144" s="5">
        <v>2043</v>
      </c>
    </row>
    <row r="145" spans="1:1" x14ac:dyDescent="0.25">
      <c r="A145" s="5">
        <v>2044</v>
      </c>
    </row>
    <row r="146" spans="1:1" x14ac:dyDescent="0.25">
      <c r="A146" s="5">
        <v>2045</v>
      </c>
    </row>
    <row r="147" spans="1:1" x14ac:dyDescent="0.25">
      <c r="A147" s="5">
        <v>2046</v>
      </c>
    </row>
    <row r="148" spans="1:1" x14ac:dyDescent="0.25">
      <c r="A148" s="5">
        <v>2047</v>
      </c>
    </row>
    <row r="149" spans="1:1" x14ac:dyDescent="0.25">
      <c r="A149" s="5">
        <v>2048</v>
      </c>
    </row>
    <row r="150" spans="1:1" x14ac:dyDescent="0.25">
      <c r="A150" s="5">
        <v>2049</v>
      </c>
    </row>
    <row r="151" spans="1:1" x14ac:dyDescent="0.25">
      <c r="A151" s="5">
        <v>2050</v>
      </c>
    </row>
    <row r="152" spans="1:1" x14ac:dyDescent="0.25">
      <c r="A152" s="5">
        <v>2051</v>
      </c>
    </row>
    <row r="153" spans="1:1" x14ac:dyDescent="0.25">
      <c r="A153" s="5">
        <v>2052</v>
      </c>
    </row>
    <row r="154" spans="1:1" x14ac:dyDescent="0.25">
      <c r="A154" s="5">
        <v>2053</v>
      </c>
    </row>
    <row r="155" spans="1:1" x14ac:dyDescent="0.25">
      <c r="A155" s="5">
        <v>2054</v>
      </c>
    </row>
    <row r="156" spans="1:1" x14ac:dyDescent="0.25">
      <c r="A156" s="5">
        <v>2055</v>
      </c>
    </row>
    <row r="157" spans="1:1" x14ac:dyDescent="0.25">
      <c r="A157" s="5">
        <v>2056</v>
      </c>
    </row>
    <row r="158" spans="1:1" x14ac:dyDescent="0.25">
      <c r="A158" s="5">
        <v>2057</v>
      </c>
    </row>
    <row r="159" spans="1:1" x14ac:dyDescent="0.25">
      <c r="A159" s="5">
        <v>2058</v>
      </c>
    </row>
    <row r="160" spans="1:1" x14ac:dyDescent="0.25">
      <c r="A160" s="5">
        <v>2059</v>
      </c>
    </row>
    <row r="161" spans="1:1" x14ac:dyDescent="0.25">
      <c r="A161" s="5">
        <v>2060</v>
      </c>
    </row>
    <row r="162" spans="1:1" x14ac:dyDescent="0.25">
      <c r="A162" s="5">
        <v>2061</v>
      </c>
    </row>
    <row r="163" spans="1:1" x14ac:dyDescent="0.25">
      <c r="A163" s="5">
        <v>2062</v>
      </c>
    </row>
    <row r="164" spans="1:1" x14ac:dyDescent="0.25">
      <c r="A164" s="5">
        <v>2063</v>
      </c>
    </row>
    <row r="165" spans="1:1" x14ac:dyDescent="0.25">
      <c r="A165" s="5">
        <v>2064</v>
      </c>
    </row>
    <row r="166" spans="1:1" x14ac:dyDescent="0.25">
      <c r="A166" s="5">
        <v>2065</v>
      </c>
    </row>
    <row r="167" spans="1:1" x14ac:dyDescent="0.25">
      <c r="A167" s="5">
        <v>2066</v>
      </c>
    </row>
    <row r="168" spans="1:1" x14ac:dyDescent="0.25">
      <c r="A168" s="5">
        <v>2067</v>
      </c>
    </row>
    <row r="169" spans="1:1" x14ac:dyDescent="0.25">
      <c r="A169" s="5">
        <v>2068</v>
      </c>
    </row>
    <row r="170" spans="1:1" x14ac:dyDescent="0.25">
      <c r="A170" s="5">
        <v>2069</v>
      </c>
    </row>
    <row r="171" spans="1:1" x14ac:dyDescent="0.25">
      <c r="A171" s="5">
        <v>2070</v>
      </c>
    </row>
    <row r="172" spans="1:1" x14ac:dyDescent="0.25">
      <c r="A172" s="5">
        <v>2071</v>
      </c>
    </row>
    <row r="173" spans="1:1" x14ac:dyDescent="0.25">
      <c r="A173" s="5">
        <v>2072</v>
      </c>
    </row>
    <row r="174" spans="1:1" x14ac:dyDescent="0.25">
      <c r="A174" s="5">
        <v>2073</v>
      </c>
    </row>
    <row r="175" spans="1:1" x14ac:dyDescent="0.25">
      <c r="A175" s="5">
        <v>2074</v>
      </c>
    </row>
    <row r="176" spans="1:1" x14ac:dyDescent="0.25">
      <c r="A176" s="5">
        <v>2075</v>
      </c>
    </row>
    <row r="177" spans="1:1" x14ac:dyDescent="0.25">
      <c r="A177" s="5">
        <v>2076</v>
      </c>
    </row>
    <row r="178" spans="1:1" x14ac:dyDescent="0.25">
      <c r="A178" s="5">
        <v>2077</v>
      </c>
    </row>
    <row r="179" spans="1:1" x14ac:dyDescent="0.25">
      <c r="A179" s="5">
        <v>2078</v>
      </c>
    </row>
    <row r="180" spans="1:1" x14ac:dyDescent="0.25">
      <c r="A180" s="5">
        <v>2079</v>
      </c>
    </row>
    <row r="181" spans="1:1" x14ac:dyDescent="0.25">
      <c r="A181" s="5">
        <v>2080</v>
      </c>
    </row>
    <row r="182" spans="1:1" x14ac:dyDescent="0.25">
      <c r="A182" s="5">
        <v>2081</v>
      </c>
    </row>
    <row r="183" spans="1:1" x14ac:dyDescent="0.25">
      <c r="A183" s="5">
        <v>2082</v>
      </c>
    </row>
    <row r="184" spans="1:1" x14ac:dyDescent="0.25">
      <c r="A184" s="5">
        <v>2083</v>
      </c>
    </row>
    <row r="185" spans="1:1" x14ac:dyDescent="0.25">
      <c r="A185" s="5">
        <v>2084</v>
      </c>
    </row>
    <row r="186" spans="1:1" x14ac:dyDescent="0.25">
      <c r="A186" s="5">
        <v>2085</v>
      </c>
    </row>
    <row r="187" spans="1:1" x14ac:dyDescent="0.25">
      <c r="A187" s="5">
        <v>2086</v>
      </c>
    </row>
    <row r="188" spans="1:1" x14ac:dyDescent="0.25">
      <c r="A188" s="5">
        <v>2087</v>
      </c>
    </row>
    <row r="189" spans="1:1" x14ac:dyDescent="0.25">
      <c r="A189" s="5">
        <v>2088</v>
      </c>
    </row>
    <row r="190" spans="1:1" x14ac:dyDescent="0.25">
      <c r="A190" s="5">
        <v>2089</v>
      </c>
    </row>
    <row r="191" spans="1:1" x14ac:dyDescent="0.25">
      <c r="A191" s="5">
        <v>2090</v>
      </c>
    </row>
    <row r="192" spans="1:1" x14ac:dyDescent="0.25">
      <c r="A192" s="5">
        <v>2091</v>
      </c>
    </row>
    <row r="193" spans="1:1" x14ac:dyDescent="0.25">
      <c r="A193" s="5">
        <v>2092</v>
      </c>
    </row>
    <row r="194" spans="1:1" x14ac:dyDescent="0.25">
      <c r="A194" s="5">
        <v>2093</v>
      </c>
    </row>
    <row r="195" spans="1:1" x14ac:dyDescent="0.25">
      <c r="A195" s="5">
        <v>2094</v>
      </c>
    </row>
    <row r="196" spans="1:1" x14ac:dyDescent="0.25">
      <c r="A196" s="5">
        <v>2095</v>
      </c>
    </row>
    <row r="197" spans="1:1" x14ac:dyDescent="0.25">
      <c r="A197" s="5">
        <v>2096</v>
      </c>
    </row>
    <row r="198" spans="1:1" x14ac:dyDescent="0.25">
      <c r="A198" s="5">
        <v>2097</v>
      </c>
    </row>
    <row r="199" spans="1:1" x14ac:dyDescent="0.25">
      <c r="A199" s="5">
        <v>2098</v>
      </c>
    </row>
    <row r="200" spans="1:1" x14ac:dyDescent="0.25">
      <c r="A200" s="5">
        <v>2099</v>
      </c>
    </row>
    <row r="201" spans="1:1" x14ac:dyDescent="0.25">
      <c r="A201" s="5">
        <v>2100</v>
      </c>
    </row>
    <row r="202" spans="1:1" x14ac:dyDescent="0.25">
      <c r="A202" s="5">
        <v>2101</v>
      </c>
    </row>
    <row r="203" spans="1:1" x14ac:dyDescent="0.25">
      <c r="A203" s="5">
        <v>2102</v>
      </c>
    </row>
    <row r="204" spans="1:1" x14ac:dyDescent="0.25">
      <c r="A204" s="5">
        <v>2103</v>
      </c>
    </row>
    <row r="205" spans="1:1" x14ac:dyDescent="0.25">
      <c r="A205" s="5">
        <v>2104</v>
      </c>
    </row>
    <row r="206" spans="1:1" x14ac:dyDescent="0.25">
      <c r="A206" s="5">
        <v>2105</v>
      </c>
    </row>
    <row r="207" spans="1:1" x14ac:dyDescent="0.25">
      <c r="A207" s="5">
        <v>2106</v>
      </c>
    </row>
    <row r="208" spans="1:1" x14ac:dyDescent="0.25">
      <c r="A208" s="5">
        <v>2107</v>
      </c>
    </row>
    <row r="209" spans="1:1" x14ac:dyDescent="0.25">
      <c r="A209" s="5">
        <v>2108</v>
      </c>
    </row>
    <row r="210" spans="1:1" x14ac:dyDescent="0.25">
      <c r="A210" s="5">
        <v>2109</v>
      </c>
    </row>
    <row r="211" spans="1:1" x14ac:dyDescent="0.25">
      <c r="A211" s="5">
        <v>2110</v>
      </c>
    </row>
    <row r="212" spans="1:1" x14ac:dyDescent="0.25">
      <c r="A212" s="5">
        <v>2111</v>
      </c>
    </row>
    <row r="213" spans="1:1" x14ac:dyDescent="0.25">
      <c r="A213" s="5">
        <v>2112</v>
      </c>
    </row>
    <row r="214" spans="1:1" x14ac:dyDescent="0.25">
      <c r="A214" s="5">
        <v>2113</v>
      </c>
    </row>
    <row r="215" spans="1:1" x14ac:dyDescent="0.25">
      <c r="A215" s="5">
        <v>2114</v>
      </c>
    </row>
    <row r="216" spans="1:1" x14ac:dyDescent="0.25">
      <c r="A216" s="5">
        <v>2115</v>
      </c>
    </row>
    <row r="217" spans="1:1" x14ac:dyDescent="0.25">
      <c r="A217" s="5">
        <v>2116</v>
      </c>
    </row>
    <row r="218" spans="1:1" x14ac:dyDescent="0.25">
      <c r="A218" s="5">
        <v>2117</v>
      </c>
    </row>
    <row r="219" spans="1:1" x14ac:dyDescent="0.25">
      <c r="A219" s="5">
        <v>2118</v>
      </c>
    </row>
    <row r="220" spans="1:1" x14ac:dyDescent="0.25">
      <c r="A220" s="5">
        <v>2119</v>
      </c>
    </row>
    <row r="221" spans="1:1" x14ac:dyDescent="0.25">
      <c r="A221" s="5">
        <v>2120</v>
      </c>
    </row>
    <row r="222" spans="1:1" x14ac:dyDescent="0.25">
      <c r="A222" s="5">
        <v>2121</v>
      </c>
    </row>
    <row r="223" spans="1:1" x14ac:dyDescent="0.25">
      <c r="A223" s="5">
        <v>2122</v>
      </c>
    </row>
    <row r="224" spans="1:1" x14ac:dyDescent="0.25">
      <c r="A224" s="5">
        <v>2123</v>
      </c>
    </row>
    <row r="225" spans="1:1" x14ac:dyDescent="0.25">
      <c r="A225" s="5">
        <v>2124</v>
      </c>
    </row>
    <row r="226" spans="1:1" x14ac:dyDescent="0.25">
      <c r="A226" s="5">
        <v>2125</v>
      </c>
    </row>
    <row r="227" spans="1:1" x14ac:dyDescent="0.25">
      <c r="A227" s="5">
        <v>2126</v>
      </c>
    </row>
    <row r="228" spans="1:1" x14ac:dyDescent="0.25">
      <c r="A228" s="5">
        <v>2127</v>
      </c>
    </row>
    <row r="229" spans="1:1" x14ac:dyDescent="0.25">
      <c r="A229" s="5">
        <v>2128</v>
      </c>
    </row>
    <row r="230" spans="1:1" x14ac:dyDescent="0.25">
      <c r="A230" s="5">
        <v>2129</v>
      </c>
    </row>
    <row r="231" spans="1:1" x14ac:dyDescent="0.25">
      <c r="A231" s="5">
        <v>2130</v>
      </c>
    </row>
    <row r="232" spans="1:1" x14ac:dyDescent="0.25">
      <c r="A232" s="5">
        <v>2131</v>
      </c>
    </row>
    <row r="234" spans="1:1" x14ac:dyDescent="0.25">
      <c r="A234" s="3" t="s">
        <v>271</v>
      </c>
    </row>
    <row r="235" spans="1:1" x14ac:dyDescent="0.25">
      <c r="A235" s="5">
        <v>1</v>
      </c>
    </row>
    <row r="236" spans="1:1" x14ac:dyDescent="0.25">
      <c r="A236" s="5">
        <v>2</v>
      </c>
    </row>
    <row r="237" spans="1:1" x14ac:dyDescent="0.25">
      <c r="A237" s="5">
        <v>3</v>
      </c>
    </row>
    <row r="238" spans="1:1" x14ac:dyDescent="0.25">
      <c r="A238" s="5">
        <v>4</v>
      </c>
    </row>
    <row r="239" spans="1:1" x14ac:dyDescent="0.25">
      <c r="A239" s="5">
        <v>5</v>
      </c>
    </row>
    <row r="240" spans="1:1" x14ac:dyDescent="0.25">
      <c r="A240" s="5">
        <v>6</v>
      </c>
    </row>
    <row r="241" spans="1:1" x14ac:dyDescent="0.25">
      <c r="A241" s="5">
        <v>7</v>
      </c>
    </row>
    <row r="242" spans="1:1" x14ac:dyDescent="0.25">
      <c r="A242" s="5">
        <v>8</v>
      </c>
    </row>
    <row r="243" spans="1:1" x14ac:dyDescent="0.25">
      <c r="A243" s="5">
        <v>9</v>
      </c>
    </row>
    <row r="244" spans="1:1" x14ac:dyDescent="0.25">
      <c r="A244" s="5">
        <v>10</v>
      </c>
    </row>
    <row r="245" spans="1:1" x14ac:dyDescent="0.25">
      <c r="A245" s="5">
        <v>11</v>
      </c>
    </row>
    <row r="246" spans="1:1" x14ac:dyDescent="0.25">
      <c r="A246" s="5">
        <v>12</v>
      </c>
    </row>
    <row r="247" spans="1:1" x14ac:dyDescent="0.25">
      <c r="A247" s="5">
        <v>13</v>
      </c>
    </row>
    <row r="248" spans="1:1" x14ac:dyDescent="0.25">
      <c r="A248" s="5">
        <v>14</v>
      </c>
    </row>
    <row r="249" spans="1:1" x14ac:dyDescent="0.25">
      <c r="A249" s="5">
        <v>15</v>
      </c>
    </row>
    <row r="250" spans="1:1" x14ac:dyDescent="0.25">
      <c r="A250" s="5">
        <v>16</v>
      </c>
    </row>
    <row r="251" spans="1:1" x14ac:dyDescent="0.25">
      <c r="A251" s="5">
        <v>17</v>
      </c>
    </row>
    <row r="252" spans="1:1" x14ac:dyDescent="0.25">
      <c r="A252" s="5">
        <v>18</v>
      </c>
    </row>
    <row r="253" spans="1:1" x14ac:dyDescent="0.25">
      <c r="A253" s="5">
        <v>19</v>
      </c>
    </row>
    <row r="254" spans="1:1" x14ac:dyDescent="0.25">
      <c r="A254" s="5">
        <v>20</v>
      </c>
    </row>
    <row r="255" spans="1:1" x14ac:dyDescent="0.25">
      <c r="A255" s="5">
        <v>21</v>
      </c>
    </row>
    <row r="256" spans="1:1" x14ac:dyDescent="0.25">
      <c r="A256" s="5">
        <v>22</v>
      </c>
    </row>
    <row r="257" spans="1:1" x14ac:dyDescent="0.25">
      <c r="A257" s="5">
        <v>23</v>
      </c>
    </row>
    <row r="258" spans="1:1" x14ac:dyDescent="0.25">
      <c r="A258" s="5">
        <v>24</v>
      </c>
    </row>
    <row r="259" spans="1:1" x14ac:dyDescent="0.25">
      <c r="A259" s="5">
        <v>25</v>
      </c>
    </row>
    <row r="260" spans="1:1" x14ac:dyDescent="0.25">
      <c r="A260" s="5">
        <v>26</v>
      </c>
    </row>
    <row r="261" spans="1:1" x14ac:dyDescent="0.25">
      <c r="A261" s="5">
        <v>27</v>
      </c>
    </row>
    <row r="262" spans="1:1" x14ac:dyDescent="0.25">
      <c r="A262" s="5">
        <v>28</v>
      </c>
    </row>
    <row r="263" spans="1:1" x14ac:dyDescent="0.25">
      <c r="A263" s="5">
        <v>29</v>
      </c>
    </row>
    <row r="264" spans="1:1" x14ac:dyDescent="0.25">
      <c r="A264" s="5">
        <v>30</v>
      </c>
    </row>
    <row r="265" spans="1:1" x14ac:dyDescent="0.25">
      <c r="A265" s="5">
        <v>31</v>
      </c>
    </row>
    <row r="266" spans="1:1" x14ac:dyDescent="0.25">
      <c r="A266" s="5">
        <v>32</v>
      </c>
    </row>
    <row r="267" spans="1:1" x14ac:dyDescent="0.25">
      <c r="A267" s="5">
        <v>33</v>
      </c>
    </row>
    <row r="268" spans="1:1" x14ac:dyDescent="0.25">
      <c r="A268" s="5">
        <v>34</v>
      </c>
    </row>
    <row r="269" spans="1:1" x14ac:dyDescent="0.25">
      <c r="A269" s="5">
        <v>35</v>
      </c>
    </row>
    <row r="270" spans="1:1" x14ac:dyDescent="0.25">
      <c r="A270" s="5">
        <v>36</v>
      </c>
    </row>
    <row r="271" spans="1:1" x14ac:dyDescent="0.25">
      <c r="A271" s="5">
        <v>37</v>
      </c>
    </row>
    <row r="272" spans="1:1" x14ac:dyDescent="0.25">
      <c r="A272" s="5">
        <v>38</v>
      </c>
    </row>
    <row r="273" spans="1:1" x14ac:dyDescent="0.25">
      <c r="A273" s="5">
        <v>39</v>
      </c>
    </row>
    <row r="274" spans="1:1" x14ac:dyDescent="0.25">
      <c r="A274" s="5">
        <v>40</v>
      </c>
    </row>
    <row r="275" spans="1:1" x14ac:dyDescent="0.25">
      <c r="A275" s="5">
        <v>41</v>
      </c>
    </row>
    <row r="276" spans="1:1" x14ac:dyDescent="0.25">
      <c r="A276" s="5">
        <v>42</v>
      </c>
    </row>
    <row r="277" spans="1:1" x14ac:dyDescent="0.25">
      <c r="A277" s="5">
        <v>43</v>
      </c>
    </row>
    <row r="278" spans="1:1" x14ac:dyDescent="0.25">
      <c r="A278" s="5">
        <v>44</v>
      </c>
    </row>
    <row r="279" spans="1:1" x14ac:dyDescent="0.25">
      <c r="A279" s="5">
        <v>45</v>
      </c>
    </row>
    <row r="280" spans="1:1" x14ac:dyDescent="0.25">
      <c r="A280" s="5">
        <v>46</v>
      </c>
    </row>
    <row r="281" spans="1:1" x14ac:dyDescent="0.25">
      <c r="A281" s="5">
        <v>47</v>
      </c>
    </row>
    <row r="282" spans="1:1" x14ac:dyDescent="0.25">
      <c r="A282" s="5">
        <v>48</v>
      </c>
    </row>
    <row r="283" spans="1:1" x14ac:dyDescent="0.25">
      <c r="A283" s="5">
        <v>49</v>
      </c>
    </row>
    <row r="284" spans="1:1" x14ac:dyDescent="0.25">
      <c r="A284" s="5">
        <v>50</v>
      </c>
    </row>
    <row r="285" spans="1:1" x14ac:dyDescent="0.25">
      <c r="A285" s="5">
        <v>51</v>
      </c>
    </row>
    <row r="286" spans="1:1" x14ac:dyDescent="0.25">
      <c r="A286" s="5">
        <v>52</v>
      </c>
    </row>
    <row r="287" spans="1:1" x14ac:dyDescent="0.25">
      <c r="A287" s="5">
        <v>53</v>
      </c>
    </row>
    <row r="288" spans="1:1" x14ac:dyDescent="0.25">
      <c r="A288" s="5">
        <v>54</v>
      </c>
    </row>
    <row r="289" spans="1:1" x14ac:dyDescent="0.25">
      <c r="A289" s="5">
        <v>55</v>
      </c>
    </row>
    <row r="290" spans="1:1" x14ac:dyDescent="0.25">
      <c r="A290" s="5">
        <v>56</v>
      </c>
    </row>
    <row r="291" spans="1:1" x14ac:dyDescent="0.25">
      <c r="A291" s="5">
        <v>57</v>
      </c>
    </row>
    <row r="292" spans="1:1" x14ac:dyDescent="0.25">
      <c r="A292" s="5">
        <v>58</v>
      </c>
    </row>
    <row r="293" spans="1:1" x14ac:dyDescent="0.25">
      <c r="A293" s="5">
        <v>59</v>
      </c>
    </row>
    <row r="294" spans="1:1" x14ac:dyDescent="0.25">
      <c r="A294" s="5">
        <v>60</v>
      </c>
    </row>
  </sheetData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C83AA471CFD54C89FF94069A2BE431" ma:contentTypeVersion="13" ma:contentTypeDescription="Crear nuevo documento." ma:contentTypeScope="" ma:versionID="79a10d7884c419cea25b59ba2179674c">
  <xsd:schema xmlns:xsd="http://www.w3.org/2001/XMLSchema" xmlns:xs="http://www.w3.org/2001/XMLSchema" xmlns:p="http://schemas.microsoft.com/office/2006/metadata/properties" xmlns:ns2="c562b887-780b-4b9e-89ca-3d8930e1f7d5" xmlns:ns3="8f3e5daa-0737-4fc0-bf49-64926580d8d7" targetNamespace="http://schemas.microsoft.com/office/2006/metadata/properties" ma:root="true" ma:fieldsID="78baee2c15a6ded4b21d986dd58d10f1" ns2:_="" ns3:_="">
    <xsd:import namespace="c562b887-780b-4b9e-89ca-3d8930e1f7d5"/>
    <xsd:import namespace="8f3e5daa-0737-4fc0-bf49-64926580d8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2b887-780b-4b9e-89ca-3d8930e1f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e5daa-0737-4fc0-bf49-64926580d8d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EE48B-8CC2-4E8F-BF1D-EB8A5D10902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E9BAC5B-A4F3-419C-BCF4-DF95F3BA51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0D953B-9C31-473C-8724-1F3CE674EA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62b887-780b-4b9e-89ca-3d8930e1f7d5"/>
    <ds:schemaRef ds:uri="8f3e5daa-0737-4fc0-bf49-64926580d8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18</vt:i4>
      </vt:variant>
    </vt:vector>
  </HeadingPairs>
  <TitlesOfParts>
    <vt:vector size="21" baseType="lpstr">
      <vt:lpstr>MASPS-MN1-IN-6-FR-6</vt:lpstr>
      <vt:lpstr>Factores De Emisión</vt:lpstr>
      <vt:lpstr>Listas</vt:lpstr>
      <vt:lpstr>acidossulf</vt:lpstr>
      <vt:lpstr>'MASPS-MN1-IN-6-FR-6'!Área_de_impresión</vt:lpstr>
      <vt:lpstr>categoria</vt:lpstr>
      <vt:lpstr>cateogria</vt:lpstr>
      <vt:lpstr>co</vt:lpstr>
      <vt:lpstr>codos</vt:lpstr>
      <vt:lpstr>combustible</vt:lpstr>
      <vt:lpstr>cot</vt:lpstr>
      <vt:lpstr>equipoproceso</vt:lpstr>
      <vt:lpstr>hcv</vt:lpstr>
      <vt:lpstr>l</vt:lpstr>
      <vt:lpstr>lcv</vt:lpstr>
      <vt:lpstr>metano</vt:lpstr>
      <vt:lpstr>nmvoc</vt:lpstr>
      <vt:lpstr>nox</vt:lpstr>
      <vt:lpstr>pc</vt:lpstr>
      <vt:lpstr>pm</vt:lpstr>
      <vt:lpstr>tipofuente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Windows 81</cp:lastModifiedBy>
  <cp:revision/>
  <dcterms:created xsi:type="dcterms:W3CDTF">2020-11-09T13:19:13Z</dcterms:created>
  <dcterms:modified xsi:type="dcterms:W3CDTF">2022-01-22T23:41:48Z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0x010100E8C83AA471CFD54C89FF94069A2BE431</vt:lpwstr>
  </property>
</Properties>
</file>