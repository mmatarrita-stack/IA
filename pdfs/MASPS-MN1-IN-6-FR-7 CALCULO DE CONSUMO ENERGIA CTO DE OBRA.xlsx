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soft Windows 81\Downloads\5 SOSTENIBILIDAD\5 SOSTENIBILIDAD\"/>
    </mc:Choice>
  </mc:AlternateContent>
  <bookViews>
    <workbookView xWindow="0" yWindow="0" windowWidth="20490" windowHeight="7650"/>
  </bookViews>
  <sheets>
    <sheet name="MASPS-MN1-IN-7-FR-7" sheetId="1" r:id="rId1"/>
    <sheet name="Listas" sheetId="2" r:id="rId2"/>
  </sheets>
  <definedNames>
    <definedName name="_xlnm.Print_Area" localSheetId="0">'MASPS-MN1-IN-7-FR-7'!$A$1:$R$131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8" i="1" l="1"/>
  <c r="O101" i="1"/>
  <c r="L83" i="1" l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82" i="1"/>
  <c r="L81" i="1"/>
  <c r="L80" i="1"/>
  <c r="L79" i="1"/>
  <c r="I109" i="1" l="1"/>
  <c r="O103" i="1"/>
  <c r="O104" i="1"/>
  <c r="O102" i="1"/>
  <c r="Q78" i="1"/>
  <c r="J101" i="1"/>
  <c r="N101" i="1" s="1"/>
  <c r="P101" i="1" s="1"/>
  <c r="J102" i="1"/>
  <c r="N102" i="1" s="1"/>
  <c r="J104" i="1"/>
  <c r="N104" i="1" s="1"/>
  <c r="J103" i="1"/>
  <c r="N103" i="1" s="1"/>
  <c r="R101" i="1" l="1"/>
  <c r="P103" i="1"/>
  <c r="R103" i="1" s="1"/>
  <c r="P104" i="1"/>
  <c r="R104" i="1" s="1"/>
  <c r="P102" i="1"/>
  <c r="R102" i="1" s="1"/>
  <c r="J109" i="1"/>
  <c r="L105" i="1"/>
  <c r="L106" i="1"/>
  <c r="L107" i="1"/>
  <c r="L108" i="1"/>
  <c r="H98" i="1"/>
  <c r="J98" i="1"/>
  <c r="Q97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R109" i="1" l="1"/>
  <c r="Q98" i="1"/>
  <c r="Q111" i="1" l="1"/>
  <c r="Q112" i="1" s="1"/>
  <c r="H112" i="1"/>
</calcChain>
</file>

<file path=xl/comments1.xml><?xml version="1.0" encoding="utf-8"?>
<comments xmlns="http://schemas.openxmlformats.org/spreadsheetml/2006/main">
  <authors>
    <author>57315</author>
    <author>tc={2E4C5317-DAC2-40A2-AB1A-42EBC3490DD4}</author>
  </authors>
  <commentList>
    <comment ref="H77" authorId="0" shapeId="0">
      <text>
        <r>
          <rPr>
            <b/>
            <sz val="9"/>
            <color indexed="81"/>
            <rFont val="Tahoma"/>
            <family val="2"/>
          </rPr>
          <t>57315:</t>
        </r>
        <r>
          <rPr>
            <sz val="9"/>
            <color indexed="81"/>
            <rFont val="Tahoma"/>
            <family val="2"/>
          </rPr>
          <t xml:space="preserve">
Alimentar información con formato diario de recolección de información.</t>
        </r>
      </text>
    </comment>
    <comment ref="J77" authorId="1" shape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Dato de la ficha técnica del equipo</t>
        </r>
      </text>
    </comment>
  </commentList>
</comments>
</file>

<file path=xl/sharedStrings.xml><?xml version="1.0" encoding="utf-8"?>
<sst xmlns="http://schemas.openxmlformats.org/spreadsheetml/2006/main" count="310" uniqueCount="220">
  <si>
    <t>CODIGO</t>
  </si>
  <si>
    <t>INSTITUTO NACIONAL DE VÍAS</t>
  </si>
  <si>
    <t>VERSIÓN</t>
  </si>
  <si>
    <t>MANUAL DE INTERVENTORÍA OBRA PÚBLICA</t>
  </si>
  <si>
    <t xml:space="preserve">CONSUMO DE ENERGÍA  EN  CONTRATO DE OBRA </t>
  </si>
  <si>
    <t xml:space="preserve">PAGINA </t>
  </si>
  <si>
    <t>UNIDAD EJECUTORA</t>
  </si>
  <si>
    <t>DIRECCIÓN TERRITORIAL</t>
  </si>
  <si>
    <t xml:space="preserve">TIPO DE PROYECTO </t>
  </si>
  <si>
    <t xml:space="preserve">CONTRATO DE OBRA N° </t>
  </si>
  <si>
    <t xml:space="preserve">DEL </t>
  </si>
  <si>
    <t xml:space="preserve">CONTRATO DE INTERVENTORÍA N° </t>
  </si>
  <si>
    <t>(Día)</t>
  </si>
  <si>
    <t>(Mes)</t>
  </si>
  <si>
    <t>(Año)</t>
  </si>
  <si>
    <t>INFORME N°</t>
  </si>
  <si>
    <t>DEL</t>
  </si>
  <si>
    <t xml:space="preserve">AL </t>
  </si>
  <si>
    <t>Mensual</t>
  </si>
  <si>
    <t>Trimestral</t>
  </si>
  <si>
    <t xml:space="preserve">OBJETO DEL PROYECTO </t>
  </si>
  <si>
    <t>LICENCIADO</t>
  </si>
  <si>
    <t xml:space="preserve">Resolución N° </t>
  </si>
  <si>
    <t xml:space="preserve">NO LICENCIADO - PAGA </t>
  </si>
  <si>
    <t xml:space="preserve">1. DATOS GENERALES </t>
  </si>
  <si>
    <t>1.1 CONTRATISTA</t>
  </si>
  <si>
    <t>1.2. INTERVENTORIA</t>
  </si>
  <si>
    <t>1.3 INVIAS- SOSTENIBILIDAD</t>
  </si>
  <si>
    <t xml:space="preserve">NIT </t>
  </si>
  <si>
    <t>NOMBRE INTERVENTORIA</t>
  </si>
  <si>
    <t>GESTOR TECNICO</t>
  </si>
  <si>
    <t xml:space="preserve">NOMBRE CONTRATISTA </t>
  </si>
  <si>
    <t>NOMBRE DEL REPRESENTANTE LEGAL</t>
  </si>
  <si>
    <t>NOMBRE</t>
  </si>
  <si>
    <t>CEDULA</t>
  </si>
  <si>
    <t>CORREO ELECTRONICO</t>
  </si>
  <si>
    <t>NOMBRE DEL DIRECTOR DE OBRA</t>
  </si>
  <si>
    <t>TELEFONO</t>
  </si>
  <si>
    <t>GESTOR AMBIENTAL</t>
  </si>
  <si>
    <t>CONTRATO N°</t>
  </si>
  <si>
    <t>OBJETO DEL CONTRATO</t>
  </si>
  <si>
    <t xml:space="preserve">FECHA DE INICIO </t>
  </si>
  <si>
    <t xml:space="preserve">FECHA TERMINACIÓN </t>
  </si>
  <si>
    <t>GESTOR SOCIAL</t>
  </si>
  <si>
    <t>VALOR DEL CONTRATO</t>
  </si>
  <si>
    <t>RECURSOS SOSTENIBILIDAD ASIGNADOS</t>
  </si>
  <si>
    <t>DIRECCIÓN DE LA EMPRESA</t>
  </si>
  <si>
    <t>CELULAR</t>
  </si>
  <si>
    <t>GESTOR ECONOMICO/FINANCIERO</t>
  </si>
  <si>
    <t xml:space="preserve">2. PERSONAL SOSTENIBILIDAD </t>
  </si>
  <si>
    <t xml:space="preserve">2.1 ESPECIALISTA EN SOSTENIBILIDAD </t>
  </si>
  <si>
    <t>N° CEDULA</t>
  </si>
  <si>
    <t>PROFESIÓN</t>
  </si>
  <si>
    <t>N° TARJETA PROFESIONAL</t>
  </si>
  <si>
    <t>POSGRADO</t>
  </si>
  <si>
    <t xml:space="preserve">CARGO </t>
  </si>
  <si>
    <t xml:space="preserve">TITULO </t>
  </si>
  <si>
    <t>% DE DEDICACIÓN</t>
  </si>
  <si>
    <t>CORREO ELECTRÓNICO</t>
  </si>
  <si>
    <t xml:space="preserve">2.2. PROFESIONALES DE APOYO A LA SOSTENIBILIDAD </t>
  </si>
  <si>
    <t>CARGO</t>
  </si>
  <si>
    <t xml:space="preserve">3. INFORMACIÓN PRESUPUESTAL </t>
  </si>
  <si>
    <t>Valor inicial  de obra</t>
  </si>
  <si>
    <t>Valor adicional de obra N°</t>
  </si>
  <si>
    <t xml:space="preserve">Valor total de la obra </t>
  </si>
  <si>
    <t>Valor Provisión  Sostenibilidad</t>
  </si>
  <si>
    <t>Valor Provisión Adicional 1 Sostenibilidad</t>
  </si>
  <si>
    <t>Valor Provisión Adicional 2 Sostenibilidad</t>
  </si>
  <si>
    <t>Valor Total Provisión Sostenibilidad</t>
  </si>
  <si>
    <t>Valor Total Provisión Sostenibilidad Pagado</t>
  </si>
  <si>
    <t>4. UBICACIÓN DEL PROYECTO</t>
  </si>
  <si>
    <t>DEPARTAMENTO</t>
  </si>
  <si>
    <t>MUNICIPIO</t>
  </si>
  <si>
    <t>GEORREFERENCIACIÓN</t>
  </si>
  <si>
    <t>PR</t>
  </si>
  <si>
    <t xml:space="preserve">NOMBRE DE LA VÍA </t>
  </si>
  <si>
    <t>NOMBRE DEL TRAMO</t>
  </si>
  <si>
    <t>CLASIFICACIÓN DEL PROYECTO DE ACUERDO AL OT</t>
  </si>
  <si>
    <t>PORCENTAJE</t>
  </si>
  <si>
    <t>Coordenada inicial - Coordenada Final</t>
  </si>
  <si>
    <t>PR inicial - PR final</t>
  </si>
  <si>
    <t>SUELO URBANO</t>
  </si>
  <si>
    <t xml:space="preserve"> SUELO EXPANSIÓN URBANO</t>
  </si>
  <si>
    <t xml:space="preserve"> SUELO RURAL</t>
  </si>
  <si>
    <t>5. DESCRIPCIÓN GENERAL DEL PROYECTO</t>
  </si>
  <si>
    <t xml:space="preserve">CARRETERO </t>
  </si>
  <si>
    <t>MARITIMO Y FLUVIAL</t>
  </si>
  <si>
    <t>FERREO</t>
  </si>
  <si>
    <t xml:space="preserve">Observaciones </t>
  </si>
  <si>
    <t xml:space="preserve">Funcionalidad </t>
  </si>
  <si>
    <t>Categorización</t>
  </si>
  <si>
    <t xml:space="preserve">6.   SEGUIMIENTO AL CONSUMO DE ENERGIA </t>
  </si>
  <si>
    <t>6.1 CONSUMO PROMEDIO Kw</t>
  </si>
  <si>
    <t>6.2 CONSUMO ENERGETICO SIN PROPUESTAS DE EFICIENCIA</t>
  </si>
  <si>
    <t>N°</t>
  </si>
  <si>
    <t>Clase Equipo</t>
  </si>
  <si>
    <t>Ubicación</t>
  </si>
  <si>
    <t>Cantidad</t>
  </si>
  <si>
    <t>Promedio Tiempo de operación diaria (h)</t>
  </si>
  <si>
    <t>Promedio Potencia (W)</t>
  </si>
  <si>
    <t>kWh</t>
  </si>
  <si>
    <t xml:space="preserve"> Días (Mes Facturado) </t>
  </si>
  <si>
    <t>kWh/mes</t>
  </si>
  <si>
    <t>Portatil</t>
  </si>
  <si>
    <t>Campamento 1</t>
  </si>
  <si>
    <t>Impresora</t>
  </si>
  <si>
    <t>Punto SAU</t>
  </si>
  <si>
    <t>Luminarias Externas Tradicionales</t>
  </si>
  <si>
    <t>Bombillas Internas Tradicionales</t>
  </si>
  <si>
    <t>Planta electrica</t>
  </si>
  <si>
    <t>Frente de Obra 1</t>
  </si>
  <si>
    <t>Total</t>
  </si>
  <si>
    <t xml:space="preserve">6.3 CONSUMO DE ENERGÍA CON IMPLEMENTACIÓN DE  LAS PROPUESTAS DE EFICIENCIA </t>
  </si>
  <si>
    <t>Equipo</t>
  </si>
  <si>
    <t>Cantidad Inicial</t>
  </si>
  <si>
    <t>Implementan nueva propuesta de eficiencia?</t>
  </si>
  <si>
    <t>Tipo de Propuesta</t>
  </si>
  <si>
    <t>Cantidad Implementada Con La Propuesta</t>
  </si>
  <si>
    <t>Cantidad Implementada Sin La Propuesta</t>
  </si>
  <si>
    <t>Potencia (W) Tecnologia Tradicional</t>
  </si>
  <si>
    <t>Potencia (W) Con La Implementación de las propuestas de eficiencia</t>
  </si>
  <si>
    <t>kWh Tecnología Tradicional</t>
  </si>
  <si>
    <t>kWh Con La Propuesta de eficiencia</t>
  </si>
  <si>
    <t>Total KWh</t>
  </si>
  <si>
    <t>Días (Mes Facturado)</t>
  </si>
  <si>
    <t>No</t>
  </si>
  <si>
    <t>Na</t>
  </si>
  <si>
    <t>Si</t>
  </si>
  <si>
    <t>Cambio a Luminarias Solares</t>
  </si>
  <si>
    <t>6.4 REPORTE DE ENERGÍA Y EMISIONES</t>
  </si>
  <si>
    <t>Factor de emisión reportado por kgCO2e/kWh UPME</t>
  </si>
  <si>
    <t xml:space="preserve">Ahorro de energía por la  implementación de las propuestas de eficiencia  </t>
  </si>
  <si>
    <t>Emisiones totales por consumo de energía</t>
  </si>
  <si>
    <t xml:space="preserve">Emisiones evitadas por la implementación de las propuestas de eficiencia </t>
  </si>
  <si>
    <t>NOTAS</t>
  </si>
  <si>
    <t>1. Es responsabilidad del Interventor y del Contratista dar cumplimiento a lo establecido en la Resolución 405 del 13 de febrero del 2020 por la cual se adoptó la POLÍTICA DE SOSTENIBILIDAD PARA LA INFRAESTRUCTURA DE TRANSPORTE DEL INSTITUTO NACIONAL DE VÍAS- INVIAS así como lo indicado en el apéndice de Sostenibilidad.</t>
  </si>
  <si>
    <t>2. Es responsabilidad del contratista el diligenciamiento del presente formato.</t>
  </si>
  <si>
    <t>3. Es responsabilidad de la interventoría dar seguimiento, control, aprobación y complementación del presente formato, para posteriormente radicar al grupo de Sostenibilidad de la Subdirección de Sostenibilidad.</t>
  </si>
  <si>
    <t>4. El Interventor y el Contratista asumen plena responsabilidad por la veracidad de la información y de los datos registrados en el presente formato y la congruencia del mismo.</t>
  </si>
  <si>
    <t>FIRMA</t>
  </si>
  <si>
    <t>Nombre:</t>
  </si>
  <si>
    <t>Director de Obra</t>
  </si>
  <si>
    <t>Director de Interventoría</t>
  </si>
  <si>
    <t>Matrícula No.:</t>
  </si>
  <si>
    <t>Profesional asignado en Sostenibilidad</t>
  </si>
  <si>
    <t>CLASIFICACION DEL PROYECTO DE ACUERDO AL OT</t>
  </si>
  <si>
    <t>Dirección Territorial Antioquia</t>
  </si>
  <si>
    <t>Proyecto en suelo urbano</t>
  </si>
  <si>
    <t>Dirección Territorial Atlántico</t>
  </si>
  <si>
    <t>Proyecto en suelo expansión urbano</t>
  </si>
  <si>
    <t>Dirección Territorial Bolívar</t>
  </si>
  <si>
    <t>Proyecto en suelo rural</t>
  </si>
  <si>
    <t>Dirección Territorial Boyacá</t>
  </si>
  <si>
    <t>Dirección Territorial Caldas</t>
  </si>
  <si>
    <t>Dirección Territorial Caquetá</t>
  </si>
  <si>
    <t xml:space="preserve">Primaria </t>
  </si>
  <si>
    <t>Dirección Territorial Casanare</t>
  </si>
  <si>
    <t>Secundaria</t>
  </si>
  <si>
    <t>Dirección Territorial Cauca</t>
  </si>
  <si>
    <t xml:space="preserve">Terciaria </t>
  </si>
  <si>
    <t>Dirección Territorial Cesar</t>
  </si>
  <si>
    <t>Dirección Territorial Chocó</t>
  </si>
  <si>
    <t>Dirección Territorial Córdoba</t>
  </si>
  <si>
    <t>Nuevo</t>
  </si>
  <si>
    <t>Dirección Territorial Cundinamarca</t>
  </si>
  <si>
    <t>Reabilitación</t>
  </si>
  <si>
    <t>Dirección Territorial Guajira</t>
  </si>
  <si>
    <t>Mejoramiento</t>
  </si>
  <si>
    <t>Dirección Territorial Huila</t>
  </si>
  <si>
    <t>Mantenimiento</t>
  </si>
  <si>
    <t>Dirección Territorial Magdalena</t>
  </si>
  <si>
    <t>Pavimentación</t>
  </si>
  <si>
    <t>Dirección Territorial Meta</t>
  </si>
  <si>
    <t>Dirección Territorial Nariño</t>
  </si>
  <si>
    <t>Dirección Territorial Norte de Santander</t>
  </si>
  <si>
    <t>Muelle</t>
  </si>
  <si>
    <t>Dirección Territorial Ocaña</t>
  </si>
  <si>
    <t>Puerto</t>
  </si>
  <si>
    <t>Dirección Territorial Putumayo</t>
  </si>
  <si>
    <t>Contrucción de malecón</t>
  </si>
  <si>
    <t>Dirección Territorial Quindío</t>
  </si>
  <si>
    <t>Dirección Territorial Risaralda</t>
  </si>
  <si>
    <t>Dirección Territorial Santander</t>
  </si>
  <si>
    <t>Dirección Territorial Sucre</t>
  </si>
  <si>
    <t>Dirección Territorial Tolima</t>
  </si>
  <si>
    <t>Dirección Territorial Valle</t>
  </si>
  <si>
    <t>Dirección Operativa</t>
  </si>
  <si>
    <t>Dirección Técnica</t>
  </si>
  <si>
    <t>Grupo Grandes Proyectos</t>
  </si>
  <si>
    <t>Grupo Peajes y Valorización</t>
  </si>
  <si>
    <t>Grupo Túnel de la Línea</t>
  </si>
  <si>
    <t>Subdirección de Estudios e Innovación</t>
  </si>
  <si>
    <t>Subdirección de Sostenibilidad</t>
  </si>
  <si>
    <t>Subdirección de Prevención y Atención de Emergencias</t>
  </si>
  <si>
    <t>Restauración del corredor</t>
  </si>
  <si>
    <t>Subdirección Maritima y fluvial</t>
  </si>
  <si>
    <t>Señalización</t>
  </si>
  <si>
    <t>Subdirección Red Nacional de Carreteras</t>
  </si>
  <si>
    <t>Subdirección Red Terciaria y Férrea</t>
  </si>
  <si>
    <t>TIPO DE PROYECTO</t>
  </si>
  <si>
    <t>Licenciado</t>
  </si>
  <si>
    <t>No licenciado</t>
  </si>
  <si>
    <t>DÍA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</si>
  <si>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</si>
  <si>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</si>
  <si>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</si>
  <si>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</si>
  <si>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</si>
  <si>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</si>
  <si>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</si>
  <si>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</si>
  <si>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</si>
  <si>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</si>
  <si>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</si>
  <si>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</si>
  <si>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</si>
  <si>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</si>
  <si>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INFORME</t>
  </si>
  <si>
    <t>PROCESO MISIONAL GESTIÓN AMBIENTAL, SOCIAL, PREDIAL Y DE SOSTENIBILIDAD DE PROYECTOS</t>
  </si>
  <si>
    <t>MASPS-MN1-IN-6-FR-7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</si>
</sst>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* #,##0_-;\-&quot;$&quot;* #,##0_-;_-&quot;$&quot;* &quot;-&quot;_-;_-@_-"/>
    <numFmt numFmtId="165" formatCode="0.000"/>
    <numFmt numFmtId="166" formatCode="0.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46" xfId="0" applyFont="1" applyBorder="1"/>
    <xf numFmtId="0" fontId="4" fillId="0" borderId="0" xfId="0" applyFont="1"/>
    <xf numFmtId="0" fontId="5" fillId="0" borderId="46" xfId="0" applyFont="1" applyBorder="1" applyAlignment="1">
      <alignment horizontal="left" vertical="top" wrapText="1"/>
    </xf>
    <xf numFmtId="0" fontId="6" fillId="0" borderId="46" xfId="0" applyFont="1" applyBorder="1"/>
    <xf numFmtId="0" fontId="6" fillId="0" borderId="0" xfId="0" applyFont="1"/>
    <xf numFmtId="0" fontId="4" fillId="0" borderId="0" xfId="0" applyFont="1" applyFill="1" applyAlignment="1">
      <alignment vertical="center" wrapText="1"/>
    </xf>
    <xf numFmtId="0" fontId="5" fillId="0" borderId="18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7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right"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52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vertical="center" wrapText="1"/>
    </xf>
    <xf numFmtId="0" fontId="6" fillId="0" borderId="26" xfId="0" applyFont="1" applyFill="1" applyBorder="1" applyAlignment="1">
      <alignment vertical="center" wrapText="1"/>
    </xf>
    <xf numFmtId="0" fontId="6" fillId="0" borderId="24" xfId="0" applyFont="1" applyFill="1" applyBorder="1" applyAlignment="1">
      <alignment vertical="center" wrapText="1"/>
    </xf>
    <xf numFmtId="0" fontId="6" fillId="0" borderId="27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2" fillId="0" borderId="44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>
      <alignment vertical="center" wrapText="1"/>
    </xf>
    <xf numFmtId="0" fontId="5" fillId="0" borderId="29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4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25" xfId="0" applyFont="1" applyFill="1" applyBorder="1" applyAlignment="1">
      <alignment vertical="center" wrapText="1"/>
    </xf>
    <xf numFmtId="0" fontId="4" fillId="0" borderId="27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vertical="center" wrapText="1"/>
    </xf>
    <xf numFmtId="0" fontId="3" fillId="0" borderId="48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36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39" xfId="0" applyFont="1" applyFill="1" applyBorder="1" applyAlignment="1">
      <alignment vertical="center" wrapText="1"/>
    </xf>
    <xf numFmtId="0" fontId="4" fillId="0" borderId="41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4" fillId="0" borderId="30" xfId="0" applyFont="1" applyFill="1" applyBorder="1" applyAlignment="1">
      <alignment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52" xfId="0" applyFont="1" applyFill="1" applyBorder="1" applyAlignment="1">
      <alignment vertical="center" wrapText="1"/>
    </xf>
    <xf numFmtId="0" fontId="7" fillId="0" borderId="0" xfId="0" applyFont="1" applyFill="1"/>
    <xf numFmtId="0" fontId="15" fillId="0" borderId="7" xfId="0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15" fillId="0" borderId="4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0" borderId="4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2" fontId="4" fillId="0" borderId="38" xfId="0" applyNumberFormat="1" applyFont="1" applyFill="1" applyBorder="1" applyAlignment="1">
      <alignment horizontal="center" vertical="center"/>
    </xf>
    <xf numFmtId="165" fontId="4" fillId="0" borderId="7" xfId="0" applyNumberFormat="1" applyFont="1" applyFill="1" applyBorder="1" applyAlignment="1">
      <alignment horizontal="center" vertical="center"/>
    </xf>
    <xf numFmtId="2" fontId="4" fillId="0" borderId="7" xfId="0" applyNumberFormat="1" applyFont="1" applyFill="1" applyBorder="1" applyAlignment="1">
      <alignment horizontal="center" vertical="center"/>
    </xf>
    <xf numFmtId="2" fontId="4" fillId="0" borderId="38" xfId="0" applyNumberFormat="1" applyFont="1" applyFill="1" applyBorder="1" applyAlignment="1">
      <alignment horizontal="center" vertical="center" wrapText="1"/>
    </xf>
    <xf numFmtId="165" fontId="4" fillId="0" borderId="7" xfId="0" applyNumberFormat="1" applyFont="1" applyFill="1" applyBorder="1"/>
    <xf numFmtId="2" fontId="4" fillId="0" borderId="7" xfId="0" applyNumberFormat="1" applyFont="1" applyFill="1" applyBorder="1"/>
    <xf numFmtId="0" fontId="7" fillId="0" borderId="7" xfId="0" applyFont="1" applyFill="1" applyBorder="1"/>
    <xf numFmtId="166" fontId="4" fillId="0" borderId="7" xfId="0" applyNumberFormat="1" applyFont="1" applyFill="1" applyBorder="1"/>
    <xf numFmtId="166" fontId="4" fillId="0" borderId="7" xfId="0" applyNumberFormat="1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4" fillId="0" borderId="0" xfId="0" applyFont="1" applyFill="1"/>
    <xf numFmtId="0" fontId="3" fillId="0" borderId="0" xfId="0" applyFont="1" applyFill="1"/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6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6" xfId="0" applyFont="1" applyFill="1" applyBorder="1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2" fontId="4" fillId="0" borderId="38" xfId="0" applyNumberFormat="1" applyFont="1" applyFill="1" applyBorder="1" applyAlignment="1">
      <alignment horizontal="center"/>
    </xf>
    <xf numFmtId="2" fontId="4" fillId="0" borderId="39" xfId="0" applyNumberFormat="1" applyFont="1" applyFill="1" applyBorder="1" applyAlignment="1">
      <alignment horizontal="center"/>
    </xf>
    <xf numFmtId="165" fontId="4" fillId="0" borderId="38" xfId="0" applyNumberFormat="1" applyFont="1" applyFill="1" applyBorder="1" applyAlignment="1">
      <alignment horizontal="center"/>
    </xf>
    <xf numFmtId="165" fontId="4" fillId="0" borderId="39" xfId="0" applyNumberFormat="1" applyFont="1" applyFill="1" applyBorder="1" applyAlignment="1">
      <alignment horizontal="center"/>
    </xf>
    <xf numFmtId="166" fontId="4" fillId="0" borderId="38" xfId="0" applyNumberFormat="1" applyFont="1" applyFill="1" applyBorder="1" applyAlignment="1">
      <alignment horizontal="center"/>
    </xf>
    <xf numFmtId="166" fontId="4" fillId="0" borderId="44" xfId="0" applyNumberFormat="1" applyFont="1" applyFill="1" applyBorder="1" applyAlignment="1">
      <alignment horizontal="center"/>
    </xf>
    <xf numFmtId="166" fontId="4" fillId="0" borderId="39" xfId="0" applyNumberFormat="1" applyFont="1" applyFill="1" applyBorder="1" applyAlignment="1">
      <alignment horizontal="center"/>
    </xf>
    <xf numFmtId="166" fontId="7" fillId="0" borderId="7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3" fillId="0" borderId="41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166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14" fillId="0" borderId="33" xfId="0" applyFont="1" applyFill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center" vertical="center" wrapText="1"/>
    </xf>
    <xf numFmtId="2" fontId="15" fillId="0" borderId="38" xfId="0" applyNumberFormat="1" applyFont="1" applyFill="1" applyBorder="1" applyAlignment="1">
      <alignment horizontal="center"/>
    </xf>
    <xf numFmtId="2" fontId="15" fillId="0" borderId="39" xfId="0" applyNumberFormat="1" applyFont="1" applyFill="1" applyBorder="1" applyAlignment="1">
      <alignment horizontal="center"/>
    </xf>
    <xf numFmtId="165" fontId="15" fillId="0" borderId="38" xfId="0" applyNumberFormat="1" applyFont="1" applyFill="1" applyBorder="1" applyAlignment="1">
      <alignment horizontal="center"/>
    </xf>
    <xf numFmtId="165" fontId="15" fillId="0" borderId="39" xfId="0" applyNumberFormat="1" applyFont="1" applyFill="1" applyBorder="1" applyAlignment="1">
      <alignment horizontal="center"/>
    </xf>
    <xf numFmtId="165" fontId="4" fillId="0" borderId="7" xfId="0" applyNumberFormat="1" applyFont="1" applyFill="1" applyBorder="1" applyAlignment="1">
      <alignment horizontal="center"/>
    </xf>
    <xf numFmtId="166" fontId="4" fillId="0" borderId="10" xfId="0" applyNumberFormat="1" applyFont="1" applyFill="1" applyBorder="1" applyAlignment="1">
      <alignment horizontal="center"/>
    </xf>
    <xf numFmtId="166" fontId="4" fillId="0" borderId="9" xfId="0" applyNumberFormat="1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166" fontId="15" fillId="0" borderId="38" xfId="0" applyNumberFormat="1" applyFont="1" applyFill="1" applyBorder="1" applyAlignment="1">
      <alignment horizontal="center"/>
    </xf>
    <xf numFmtId="166" fontId="15" fillId="0" borderId="44" xfId="0" applyNumberFormat="1" applyFont="1" applyFill="1" applyBorder="1" applyAlignment="1">
      <alignment horizontal="center"/>
    </xf>
    <xf numFmtId="166" fontId="15" fillId="0" borderId="39" xfId="0" applyNumberFormat="1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165" fontId="4" fillId="0" borderId="10" xfId="0" applyNumberFormat="1" applyFont="1" applyFill="1" applyBorder="1" applyAlignment="1">
      <alignment horizontal="center"/>
    </xf>
    <xf numFmtId="165" fontId="4" fillId="0" borderId="9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18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9" fontId="10" fillId="0" borderId="5" xfId="1" applyFont="1" applyFill="1" applyBorder="1" applyAlignment="1">
      <alignment horizontal="center" vertical="center" wrapText="1"/>
    </xf>
    <xf numFmtId="9" fontId="10" fillId="0" borderId="0" xfId="1" applyFont="1" applyFill="1" applyBorder="1" applyAlignment="1">
      <alignment horizontal="center" vertical="center" wrapText="1"/>
    </xf>
    <xf numFmtId="9" fontId="10" fillId="0" borderId="6" xfId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vertical="center" wrapText="1"/>
    </xf>
    <xf numFmtId="0" fontId="5" fillId="0" borderId="44" xfId="0" applyFont="1" applyFill="1" applyBorder="1" applyAlignment="1">
      <alignment vertical="center" wrapText="1"/>
    </xf>
    <xf numFmtId="0" fontId="5" fillId="0" borderId="39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left" vertical="center" wrapText="1"/>
    </xf>
    <xf numFmtId="0" fontId="12" fillId="0" borderId="44" xfId="0" applyFont="1" applyFill="1" applyBorder="1" applyAlignment="1">
      <alignment horizontal="left" vertical="center" wrapText="1"/>
    </xf>
    <xf numFmtId="0" fontId="12" fillId="0" borderId="39" xfId="0" applyFont="1" applyFill="1" applyBorder="1" applyAlignment="1">
      <alignment horizontal="left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38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>
      <alignment horizontal="left" vertical="center" wrapText="1"/>
    </xf>
    <xf numFmtId="0" fontId="5" fillId="0" borderId="39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horizontal="left" vertical="center" wrapText="1"/>
    </xf>
    <xf numFmtId="0" fontId="3" fillId="0" borderId="26" xfId="0" applyFont="1" applyFill="1" applyBorder="1" applyAlignment="1">
      <alignment horizontal="left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vertical="center" wrapText="1"/>
    </xf>
    <xf numFmtId="0" fontId="5" fillId="0" borderId="29" xfId="0" applyFont="1" applyFill="1" applyBorder="1" applyAlignment="1">
      <alignment vertical="center" wrapText="1"/>
    </xf>
    <xf numFmtId="0" fontId="5" fillId="0" borderId="35" xfId="0" applyFont="1" applyFill="1" applyBorder="1" applyAlignment="1">
      <alignment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164" fontId="4" fillId="0" borderId="28" xfId="2" applyFont="1" applyFill="1" applyBorder="1" applyAlignment="1">
      <alignment horizontal="center" vertical="center" wrapText="1"/>
    </xf>
    <xf numFmtId="164" fontId="4" fillId="0" borderId="29" xfId="2" applyFont="1" applyFill="1" applyBorder="1" applyAlignment="1">
      <alignment horizontal="center" vertical="center" wrapText="1"/>
    </xf>
    <xf numFmtId="164" fontId="4" fillId="0" borderId="30" xfId="2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5" fillId="0" borderId="38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39" xfId="0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6" fillId="0" borderId="23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 wrapText="1"/>
    </xf>
    <xf numFmtId="0" fontId="6" fillId="0" borderId="40" xfId="0" applyFont="1" applyFill="1" applyBorder="1" applyAlignment="1">
      <alignment horizontal="left" vertical="center" wrapText="1"/>
    </xf>
    <xf numFmtId="0" fontId="6" fillId="0" borderId="44" xfId="0" applyFont="1" applyFill="1" applyBorder="1" applyAlignment="1">
      <alignment horizontal="left" vertical="center" wrapText="1"/>
    </xf>
    <xf numFmtId="0" fontId="6" fillId="0" borderId="39" xfId="0" applyFont="1" applyFill="1" applyBorder="1" applyAlignment="1">
      <alignment horizontal="left" vertical="center" wrapText="1"/>
    </xf>
    <xf numFmtId="0" fontId="6" fillId="0" borderId="38" xfId="0" applyFont="1" applyFill="1" applyBorder="1" applyAlignment="1">
      <alignment horizontal="left" vertical="center" wrapText="1"/>
    </xf>
    <xf numFmtId="0" fontId="4" fillId="0" borderId="38" xfId="0" applyFont="1" applyFill="1" applyBorder="1" applyAlignment="1">
      <alignment horizontal="left" vertical="center" wrapText="1"/>
    </xf>
    <xf numFmtId="0" fontId="4" fillId="0" borderId="44" xfId="0" applyFont="1" applyFill="1" applyBorder="1" applyAlignment="1">
      <alignment horizontal="left" vertical="center" wrapText="1"/>
    </xf>
    <xf numFmtId="0" fontId="4" fillId="0" borderId="41" xfId="0" applyFont="1" applyFill="1" applyBorder="1" applyAlignment="1">
      <alignment horizontal="left" vertical="center" wrapText="1"/>
    </xf>
    <xf numFmtId="0" fontId="3" fillId="0" borderId="38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right" vertical="center" wrapText="1"/>
    </xf>
    <xf numFmtId="0" fontId="10" fillId="0" borderId="32" xfId="0" applyFont="1" applyFill="1" applyBorder="1" applyAlignment="1">
      <alignment horizontal="right" vertical="center" wrapText="1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361950</xdr:colOff>
          <xdr:row>0</xdr:row>
          <xdr:rowOff>114300</xdr:rowOff>
        </xdr:from>
        <xdr:to>
          <xdr:col>1</xdr:col>
          <xdr:colOff>581025</xdr:colOff>
          <xdr:row>5</xdr:row>
          <xdr:rowOff>66675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eison Ernesto Melo Martinez" id="{59A018D8-4FD7-4315-927C-198F7ADCA99B}" userId="S::jmelo@invias.gov.co::7ad1c5a6-47d3-4305-a95c-9e8ed72abd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7" dT="2021-06-21T19:25:42.58" personId="{59A018D8-4FD7-4315-927C-198F7ADCA99B}" id="{2E4C5317-DAC2-40A2-AB1A-42EBC3490DD4}">
    <text>Dato de la ficha técnica del equipo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30"/>
  <sheetViews>
    <sheetView showGridLines="0" tabSelected="1" view="pageBreakPreview" zoomScaleNormal="100" zoomScaleSheetLayoutView="100" workbookViewId="0">
      <selection sqref="A1:B6"/>
    </sheetView>
  </sheetViews>
  <sheetFormatPr baseColWidth="10" defaultColWidth="11" defaultRowHeight="12.75" x14ac:dyDescent="0.25"/>
  <cols>
    <col min="1" max="1" width="11" style="9"/>
    <col min="2" max="2" width="12.625" style="9" customWidth="1"/>
    <col min="3" max="3" width="18" style="9" customWidth="1"/>
    <col min="4" max="4" width="6.625" style="9" customWidth="1"/>
    <col min="5" max="5" width="11.875" style="9" bestFit="1" customWidth="1"/>
    <col min="6" max="6" width="9.875" style="9" customWidth="1"/>
    <col min="7" max="7" width="13.5" style="9" customWidth="1"/>
    <col min="8" max="8" width="10.625" style="9" customWidth="1"/>
    <col min="9" max="9" width="11.625" style="9" customWidth="1"/>
    <col min="10" max="10" width="13.5" style="9" customWidth="1"/>
    <col min="11" max="11" width="13.125" style="9" customWidth="1"/>
    <col min="12" max="12" width="11.75" style="9" bestFit="1" customWidth="1"/>
    <col min="13" max="13" width="12.625" style="9" customWidth="1"/>
    <col min="14" max="14" width="11.75" style="9" customWidth="1"/>
    <col min="15" max="15" width="12.75" style="9" customWidth="1"/>
    <col min="16" max="16" width="11" style="9"/>
    <col min="17" max="17" width="11" style="9" customWidth="1"/>
    <col min="18" max="18" width="12.875" style="9" customWidth="1"/>
    <col min="19" max="16384" width="11" style="9"/>
  </cols>
  <sheetData>
    <row r="1" spans="1:23" ht="12.75" customHeight="1" x14ac:dyDescent="0.25">
      <c r="A1" s="169"/>
      <c r="B1" s="170"/>
      <c r="C1" s="175"/>
      <c r="D1" s="176"/>
      <c r="E1" s="176"/>
      <c r="F1" s="176"/>
      <c r="G1" s="176"/>
      <c r="H1" s="176"/>
      <c r="I1" s="176"/>
      <c r="J1" s="176"/>
      <c r="K1" s="176"/>
      <c r="L1" s="177"/>
      <c r="M1" s="178" t="s">
        <v>0</v>
      </c>
      <c r="N1" s="179"/>
      <c r="O1" s="182" t="s">
        <v>219</v>
      </c>
      <c r="P1" s="183"/>
      <c r="Q1" s="183"/>
      <c r="R1" s="184"/>
    </row>
    <row r="2" spans="1:23" ht="12.75" customHeight="1" x14ac:dyDescent="0.25">
      <c r="A2" s="171"/>
      <c r="B2" s="172"/>
      <c r="C2" s="188" t="s">
        <v>1</v>
      </c>
      <c r="D2" s="189"/>
      <c r="E2" s="189"/>
      <c r="F2" s="189"/>
      <c r="G2" s="189"/>
      <c r="H2" s="189"/>
      <c r="I2" s="189"/>
      <c r="J2" s="189"/>
      <c r="K2" s="189"/>
      <c r="L2" s="190"/>
      <c r="M2" s="180"/>
      <c r="N2" s="181"/>
      <c r="O2" s="185"/>
      <c r="P2" s="186"/>
      <c r="Q2" s="186"/>
      <c r="R2" s="187"/>
    </row>
    <row r="3" spans="1:23" ht="12.75" customHeight="1" x14ac:dyDescent="0.25">
      <c r="A3" s="171"/>
      <c r="B3" s="172"/>
      <c r="C3" s="191" t="s">
        <v>218</v>
      </c>
      <c r="D3" s="192"/>
      <c r="E3" s="192"/>
      <c r="F3" s="192"/>
      <c r="G3" s="192"/>
      <c r="H3" s="192"/>
      <c r="I3" s="192"/>
      <c r="J3" s="192"/>
      <c r="K3" s="192"/>
      <c r="L3" s="193"/>
      <c r="M3" s="205" t="s">
        <v>2</v>
      </c>
      <c r="N3" s="206"/>
      <c r="O3" s="196">
        <v>1</v>
      </c>
      <c r="P3" s="197"/>
      <c r="Q3" s="197"/>
      <c r="R3" s="198"/>
    </row>
    <row r="4" spans="1:23" ht="12.75" customHeight="1" x14ac:dyDescent="0.25">
      <c r="A4" s="171"/>
      <c r="B4" s="172"/>
      <c r="C4" s="199" t="s">
        <v>3</v>
      </c>
      <c r="D4" s="200"/>
      <c r="E4" s="200"/>
      <c r="F4" s="200"/>
      <c r="G4" s="200"/>
      <c r="H4" s="200"/>
      <c r="I4" s="200"/>
      <c r="J4" s="200"/>
      <c r="K4" s="200"/>
      <c r="L4" s="201"/>
      <c r="M4" s="180"/>
      <c r="N4" s="181"/>
      <c r="O4" s="185"/>
      <c r="P4" s="186"/>
      <c r="Q4" s="186"/>
      <c r="R4" s="187"/>
    </row>
    <row r="5" spans="1:23" ht="12.75" customHeight="1" x14ac:dyDescent="0.25">
      <c r="A5" s="171"/>
      <c r="B5" s="172"/>
      <c r="C5" s="194" t="s">
        <v>4</v>
      </c>
      <c r="D5" s="158"/>
      <c r="E5" s="158"/>
      <c r="F5" s="158"/>
      <c r="G5" s="158"/>
      <c r="H5" s="158"/>
      <c r="I5" s="158"/>
      <c r="J5" s="158"/>
      <c r="K5" s="158"/>
      <c r="L5" s="195"/>
      <c r="M5" s="205" t="s">
        <v>5</v>
      </c>
      <c r="N5" s="206"/>
      <c r="O5" s="196"/>
      <c r="P5" s="197"/>
      <c r="Q5" s="197"/>
      <c r="R5" s="198"/>
    </row>
    <row r="6" spans="1:23" ht="12.75" customHeight="1" x14ac:dyDescent="0.25">
      <c r="A6" s="173"/>
      <c r="B6" s="174"/>
      <c r="C6" s="10"/>
      <c r="D6" s="11"/>
      <c r="E6" s="11"/>
      <c r="F6" s="11"/>
      <c r="G6" s="11"/>
      <c r="H6" s="11"/>
      <c r="I6" s="11"/>
      <c r="J6" s="11"/>
      <c r="K6" s="11"/>
      <c r="L6" s="12"/>
      <c r="M6" s="247"/>
      <c r="N6" s="248"/>
      <c r="O6" s="202"/>
      <c r="P6" s="203"/>
      <c r="Q6" s="203"/>
      <c r="R6" s="204"/>
    </row>
    <row r="7" spans="1:23" x14ac:dyDescent="0.25">
      <c r="A7" s="13"/>
      <c r="R7" s="14"/>
    </row>
    <row r="8" spans="1:23" ht="13.15" customHeight="1" x14ac:dyDescent="0.25">
      <c r="A8" s="245" t="s">
        <v>6</v>
      </c>
      <c r="B8" s="246"/>
      <c r="C8" s="159"/>
      <c r="D8" s="159"/>
      <c r="E8" s="159"/>
      <c r="F8" s="159"/>
      <c r="G8" s="246" t="s">
        <v>7</v>
      </c>
      <c r="H8" s="246"/>
      <c r="I8" s="246"/>
      <c r="J8" s="159"/>
      <c r="K8" s="159"/>
      <c r="L8" s="159"/>
      <c r="M8" s="246" t="s">
        <v>8</v>
      </c>
      <c r="N8" s="246"/>
      <c r="O8" s="159"/>
      <c r="P8" s="159"/>
      <c r="Q8" s="159"/>
      <c r="R8" s="168"/>
    </row>
    <row r="9" spans="1:23" x14ac:dyDescent="0.25">
      <c r="A9" s="13"/>
      <c r="R9" s="14"/>
    </row>
    <row r="10" spans="1:23" ht="13.15" customHeight="1" x14ac:dyDescent="0.25">
      <c r="A10" s="245" t="s">
        <v>9</v>
      </c>
      <c r="B10" s="246"/>
      <c r="C10" s="15"/>
      <c r="D10" s="223" t="s">
        <v>10</v>
      </c>
      <c r="E10" s="223"/>
      <c r="F10" s="16"/>
      <c r="G10" s="16"/>
      <c r="H10" s="16"/>
      <c r="I10" s="158" t="s">
        <v>11</v>
      </c>
      <c r="J10" s="158"/>
      <c r="K10" s="158"/>
      <c r="L10" s="159"/>
      <c r="M10" s="159"/>
      <c r="N10" s="17" t="s">
        <v>10</v>
      </c>
      <c r="O10" s="16"/>
      <c r="P10" s="16"/>
      <c r="Q10" s="16"/>
      <c r="R10" s="18"/>
    </row>
    <row r="11" spans="1:23" x14ac:dyDescent="0.25">
      <c r="A11" s="19"/>
      <c r="B11" s="20"/>
      <c r="C11" s="20"/>
      <c r="D11" s="20"/>
      <c r="E11" s="20"/>
      <c r="F11" s="17" t="s">
        <v>12</v>
      </c>
      <c r="G11" s="17" t="s">
        <v>13</v>
      </c>
      <c r="H11" s="17" t="s">
        <v>14</v>
      </c>
      <c r="I11" s="17"/>
      <c r="J11" s="17"/>
      <c r="K11" s="20"/>
      <c r="L11" s="20"/>
      <c r="M11" s="20"/>
      <c r="N11" s="20"/>
      <c r="O11" s="17" t="s">
        <v>12</v>
      </c>
      <c r="P11" s="17"/>
      <c r="Q11" s="17" t="s">
        <v>13</v>
      </c>
      <c r="R11" s="21" t="s">
        <v>14</v>
      </c>
    </row>
    <row r="12" spans="1:23" ht="15.95" customHeight="1" thickBot="1" x14ac:dyDescent="0.3">
      <c r="A12" s="22"/>
      <c r="Q12" s="20"/>
      <c r="R12" s="23"/>
      <c r="S12" s="20"/>
    </row>
    <row r="13" spans="1:23" ht="13.5" thickBot="1" x14ac:dyDescent="0.3">
      <c r="A13" s="194" t="s">
        <v>15</v>
      </c>
      <c r="B13" s="158"/>
      <c r="C13" s="16"/>
      <c r="D13" s="223" t="s">
        <v>16</v>
      </c>
      <c r="E13" s="223"/>
      <c r="F13" s="20"/>
      <c r="G13" s="20"/>
      <c r="H13" s="20"/>
      <c r="I13" s="20"/>
      <c r="J13" s="223" t="s">
        <v>17</v>
      </c>
      <c r="K13" s="223"/>
      <c r="L13" s="20"/>
      <c r="M13" s="20"/>
      <c r="N13" s="20"/>
      <c r="P13" s="9" t="s">
        <v>18</v>
      </c>
      <c r="Q13" s="24"/>
      <c r="R13" s="23"/>
      <c r="S13" s="20"/>
    </row>
    <row r="14" spans="1:23" ht="13.5" thickBot="1" x14ac:dyDescent="0.3">
      <c r="A14" s="13"/>
      <c r="B14" s="20"/>
      <c r="C14" s="20"/>
      <c r="D14" s="20"/>
      <c r="E14" s="20"/>
      <c r="F14" s="25" t="s">
        <v>12</v>
      </c>
      <c r="G14" s="25" t="s">
        <v>13</v>
      </c>
      <c r="H14" s="25" t="s">
        <v>14</v>
      </c>
      <c r="I14" s="20"/>
      <c r="J14" s="20"/>
      <c r="K14" s="20"/>
      <c r="L14" s="25" t="s">
        <v>12</v>
      </c>
      <c r="M14" s="25" t="s">
        <v>13</v>
      </c>
      <c r="N14" s="25" t="s">
        <v>14</v>
      </c>
      <c r="P14" s="9" t="s">
        <v>19</v>
      </c>
      <c r="Q14" s="26"/>
      <c r="R14" s="14"/>
    </row>
    <row r="15" spans="1:23" ht="13.15" customHeight="1" x14ac:dyDescent="0.25">
      <c r="A15" s="153" t="s">
        <v>20</v>
      </c>
      <c r="B15" s="154"/>
      <c r="C15" s="155"/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  <c r="S15" s="20"/>
      <c r="T15" s="20"/>
      <c r="U15" s="20"/>
      <c r="V15" s="20"/>
      <c r="W15" s="20"/>
    </row>
    <row r="16" spans="1:23" ht="13.15" customHeight="1" x14ac:dyDescent="0.25">
      <c r="A16" s="236" t="s">
        <v>8</v>
      </c>
      <c r="B16" s="237"/>
      <c r="C16" s="240" t="s">
        <v>21</v>
      </c>
      <c r="D16" s="242"/>
      <c r="E16" s="243"/>
      <c r="F16" s="237"/>
      <c r="G16" s="242" t="s">
        <v>22</v>
      </c>
      <c r="H16" s="237"/>
      <c r="I16" s="30"/>
      <c r="J16" s="30"/>
      <c r="K16" s="30"/>
      <c r="L16" s="242" t="s">
        <v>23</v>
      </c>
      <c r="M16" s="243"/>
      <c r="N16" s="243"/>
      <c r="O16" s="237"/>
      <c r="P16" s="31"/>
      <c r="Q16" s="196"/>
      <c r="R16" s="198"/>
      <c r="S16" s="32"/>
      <c r="T16" s="32"/>
      <c r="U16" s="32"/>
      <c r="V16" s="223"/>
      <c r="W16" s="223"/>
    </row>
    <row r="17" spans="1:23" x14ac:dyDescent="0.25">
      <c r="A17" s="238"/>
      <c r="B17" s="239"/>
      <c r="C17" s="241"/>
      <c r="D17" s="244"/>
      <c r="E17" s="159"/>
      <c r="F17" s="239"/>
      <c r="G17" s="244"/>
      <c r="H17" s="239"/>
      <c r="I17" s="33" t="s">
        <v>12</v>
      </c>
      <c r="J17" s="33" t="s">
        <v>13</v>
      </c>
      <c r="K17" s="33" t="s">
        <v>14</v>
      </c>
      <c r="L17" s="244"/>
      <c r="M17" s="159"/>
      <c r="N17" s="159"/>
      <c r="O17" s="239"/>
      <c r="P17" s="34"/>
      <c r="Q17" s="185"/>
      <c r="R17" s="187"/>
      <c r="S17" s="32"/>
      <c r="T17" s="32"/>
      <c r="U17" s="32"/>
      <c r="V17" s="223"/>
      <c r="W17" s="223"/>
    </row>
    <row r="18" spans="1:23" ht="13.5" thickBot="1" x14ac:dyDescent="0.3">
      <c r="A18" s="224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6"/>
      <c r="S18" s="32"/>
      <c r="T18" s="32"/>
      <c r="U18" s="32"/>
      <c r="V18" s="32"/>
      <c r="W18" s="32"/>
    </row>
    <row r="19" spans="1:23" ht="13.9" customHeight="1" thickBot="1" x14ac:dyDescent="0.3">
      <c r="A19" s="160" t="s">
        <v>24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2"/>
      <c r="S19" s="32"/>
      <c r="T19" s="32"/>
      <c r="U19" s="32"/>
      <c r="V19" s="32"/>
      <c r="W19" s="32"/>
    </row>
    <row r="20" spans="1:23" ht="13.5" thickBot="1" x14ac:dyDescent="0.3">
      <c r="A20" s="227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9"/>
    </row>
    <row r="21" spans="1:23" ht="13.15" customHeight="1" x14ac:dyDescent="0.25">
      <c r="A21" s="230" t="s">
        <v>25</v>
      </c>
      <c r="B21" s="231"/>
      <c r="C21" s="232"/>
      <c r="D21" s="233"/>
      <c r="E21" s="231"/>
      <c r="F21" s="231"/>
      <c r="G21" s="232"/>
      <c r="H21" s="233" t="s">
        <v>26</v>
      </c>
      <c r="I21" s="231"/>
      <c r="J21" s="232"/>
      <c r="K21" s="233"/>
      <c r="L21" s="232"/>
      <c r="M21" s="233" t="s">
        <v>27</v>
      </c>
      <c r="N21" s="231"/>
      <c r="O21" s="232"/>
      <c r="P21" s="35"/>
      <c r="Q21" s="234"/>
      <c r="R21" s="235"/>
    </row>
    <row r="22" spans="1:23" ht="13.15" customHeight="1" x14ac:dyDescent="0.25">
      <c r="A22" s="219" t="s">
        <v>28</v>
      </c>
      <c r="B22" s="213"/>
      <c r="C22" s="214"/>
      <c r="D22" s="209"/>
      <c r="E22" s="210"/>
      <c r="F22" s="210"/>
      <c r="G22" s="211"/>
      <c r="H22" s="212" t="s">
        <v>29</v>
      </c>
      <c r="I22" s="213"/>
      <c r="J22" s="214"/>
      <c r="K22" s="123"/>
      <c r="L22" s="125"/>
      <c r="M22" s="215" t="s">
        <v>30</v>
      </c>
      <c r="N22" s="216"/>
      <c r="O22" s="217"/>
      <c r="P22" s="36"/>
      <c r="Q22" s="123"/>
      <c r="R22" s="218"/>
    </row>
    <row r="23" spans="1:23" ht="44.1" customHeight="1" x14ac:dyDescent="0.25">
      <c r="A23" s="219" t="s">
        <v>31</v>
      </c>
      <c r="B23" s="213"/>
      <c r="C23" s="214"/>
      <c r="D23" s="209"/>
      <c r="E23" s="210"/>
      <c r="F23" s="210"/>
      <c r="G23" s="211"/>
      <c r="H23" s="212" t="s">
        <v>32</v>
      </c>
      <c r="I23" s="213"/>
      <c r="J23" s="214"/>
      <c r="K23" s="123"/>
      <c r="L23" s="125"/>
      <c r="M23" s="220" t="s">
        <v>33</v>
      </c>
      <c r="N23" s="221"/>
      <c r="O23" s="222"/>
      <c r="P23" s="37"/>
      <c r="Q23" s="123"/>
      <c r="R23" s="218"/>
    </row>
    <row r="24" spans="1:23" ht="15.95" customHeight="1" x14ac:dyDescent="0.25">
      <c r="A24" s="219" t="s">
        <v>32</v>
      </c>
      <c r="B24" s="213"/>
      <c r="C24" s="214"/>
      <c r="D24" s="209"/>
      <c r="E24" s="210"/>
      <c r="F24" s="210"/>
      <c r="G24" s="211"/>
      <c r="H24" s="212" t="s">
        <v>34</v>
      </c>
      <c r="I24" s="213"/>
      <c r="J24" s="214"/>
      <c r="K24" s="123"/>
      <c r="L24" s="125"/>
      <c r="M24" s="212" t="s">
        <v>35</v>
      </c>
      <c r="N24" s="213"/>
      <c r="O24" s="214"/>
      <c r="P24" s="38"/>
      <c r="Q24" s="123"/>
      <c r="R24" s="218"/>
    </row>
    <row r="25" spans="1:23" ht="13.15" customHeight="1" x14ac:dyDescent="0.25">
      <c r="A25" s="219" t="s">
        <v>34</v>
      </c>
      <c r="B25" s="213"/>
      <c r="C25" s="214"/>
      <c r="D25" s="209"/>
      <c r="E25" s="210"/>
      <c r="F25" s="210"/>
      <c r="G25" s="211"/>
      <c r="H25" s="212" t="s">
        <v>36</v>
      </c>
      <c r="I25" s="213"/>
      <c r="J25" s="214"/>
      <c r="K25" s="123"/>
      <c r="L25" s="125"/>
      <c r="M25" s="220" t="s">
        <v>37</v>
      </c>
      <c r="N25" s="221"/>
      <c r="O25" s="222"/>
      <c r="P25" s="37"/>
      <c r="Q25" s="123"/>
      <c r="R25" s="218"/>
    </row>
    <row r="26" spans="1:23" ht="15.95" customHeight="1" x14ac:dyDescent="0.25">
      <c r="A26" s="219" t="s">
        <v>36</v>
      </c>
      <c r="B26" s="213"/>
      <c r="C26" s="214"/>
      <c r="D26" s="209"/>
      <c r="E26" s="210"/>
      <c r="F26" s="210"/>
      <c r="G26" s="211"/>
      <c r="H26" s="212" t="s">
        <v>34</v>
      </c>
      <c r="I26" s="213"/>
      <c r="J26" s="214"/>
      <c r="K26" s="123"/>
      <c r="L26" s="125"/>
      <c r="M26" s="220" t="s">
        <v>38</v>
      </c>
      <c r="N26" s="221"/>
      <c r="O26" s="222"/>
      <c r="P26" s="37"/>
      <c r="Q26" s="123"/>
      <c r="R26" s="218"/>
    </row>
    <row r="27" spans="1:23" ht="13.15" customHeight="1" x14ac:dyDescent="0.25">
      <c r="A27" s="219" t="s">
        <v>34</v>
      </c>
      <c r="B27" s="213"/>
      <c r="C27" s="214"/>
      <c r="D27" s="209"/>
      <c r="E27" s="210"/>
      <c r="F27" s="210"/>
      <c r="G27" s="211"/>
      <c r="H27" s="212" t="s">
        <v>39</v>
      </c>
      <c r="I27" s="213"/>
      <c r="J27" s="214"/>
      <c r="K27" s="123"/>
      <c r="L27" s="125"/>
      <c r="M27" s="220" t="s">
        <v>33</v>
      </c>
      <c r="N27" s="221"/>
      <c r="O27" s="222"/>
      <c r="P27" s="37"/>
      <c r="Q27" s="123"/>
      <c r="R27" s="218"/>
    </row>
    <row r="28" spans="1:23" ht="13.15" customHeight="1" x14ac:dyDescent="0.25">
      <c r="A28" s="219" t="s">
        <v>39</v>
      </c>
      <c r="B28" s="213"/>
      <c r="C28" s="214"/>
      <c r="D28" s="209"/>
      <c r="E28" s="210"/>
      <c r="F28" s="210"/>
      <c r="G28" s="211"/>
      <c r="H28" s="212" t="s">
        <v>40</v>
      </c>
      <c r="I28" s="213"/>
      <c r="J28" s="214"/>
      <c r="K28" s="123"/>
      <c r="L28" s="125"/>
      <c r="M28" s="212" t="s">
        <v>35</v>
      </c>
      <c r="N28" s="213"/>
      <c r="O28" s="214"/>
      <c r="P28" s="38"/>
      <c r="Q28" s="123"/>
      <c r="R28" s="218"/>
    </row>
    <row r="29" spans="1:23" ht="13.15" customHeight="1" x14ac:dyDescent="0.25">
      <c r="A29" s="219" t="s">
        <v>40</v>
      </c>
      <c r="B29" s="213"/>
      <c r="C29" s="214"/>
      <c r="D29" s="209"/>
      <c r="E29" s="210"/>
      <c r="F29" s="210"/>
      <c r="G29" s="211"/>
      <c r="H29" s="212" t="s">
        <v>41</v>
      </c>
      <c r="I29" s="213"/>
      <c r="J29" s="214"/>
      <c r="K29" s="123"/>
      <c r="L29" s="125"/>
      <c r="M29" s="220" t="s">
        <v>37</v>
      </c>
      <c r="N29" s="221"/>
      <c r="O29" s="222"/>
      <c r="P29" s="37"/>
      <c r="Q29" s="123"/>
      <c r="R29" s="218"/>
    </row>
    <row r="30" spans="1:23" ht="13.15" customHeight="1" x14ac:dyDescent="0.25">
      <c r="A30" s="219" t="s">
        <v>41</v>
      </c>
      <c r="B30" s="213"/>
      <c r="C30" s="214"/>
      <c r="D30" s="209"/>
      <c r="E30" s="210"/>
      <c r="F30" s="210"/>
      <c r="G30" s="211"/>
      <c r="H30" s="212" t="s">
        <v>42</v>
      </c>
      <c r="I30" s="213"/>
      <c r="J30" s="214"/>
      <c r="K30" s="123"/>
      <c r="L30" s="125"/>
      <c r="M30" s="220" t="s">
        <v>43</v>
      </c>
      <c r="N30" s="221"/>
      <c r="O30" s="222"/>
      <c r="P30" s="37"/>
      <c r="Q30" s="123"/>
      <c r="R30" s="218"/>
    </row>
    <row r="31" spans="1:23" ht="13.15" customHeight="1" x14ac:dyDescent="0.25">
      <c r="A31" s="219" t="s">
        <v>42</v>
      </c>
      <c r="B31" s="213"/>
      <c r="C31" s="214"/>
      <c r="D31" s="209"/>
      <c r="E31" s="210"/>
      <c r="F31" s="210"/>
      <c r="G31" s="211"/>
      <c r="H31" s="212" t="s">
        <v>44</v>
      </c>
      <c r="I31" s="213"/>
      <c r="J31" s="214"/>
      <c r="K31" s="123"/>
      <c r="L31" s="125"/>
      <c r="M31" s="220" t="s">
        <v>33</v>
      </c>
      <c r="N31" s="221"/>
      <c r="O31" s="222"/>
      <c r="P31" s="37"/>
      <c r="Q31" s="123"/>
      <c r="R31" s="218"/>
    </row>
    <row r="32" spans="1:23" ht="30" customHeight="1" x14ac:dyDescent="0.25">
      <c r="A32" s="219" t="s">
        <v>44</v>
      </c>
      <c r="B32" s="213"/>
      <c r="C32" s="214"/>
      <c r="D32" s="209"/>
      <c r="E32" s="210"/>
      <c r="F32" s="210"/>
      <c r="G32" s="211"/>
      <c r="H32" s="212" t="s">
        <v>45</v>
      </c>
      <c r="I32" s="213"/>
      <c r="J32" s="214"/>
      <c r="K32" s="123"/>
      <c r="L32" s="125"/>
      <c r="M32" s="212" t="s">
        <v>35</v>
      </c>
      <c r="N32" s="213"/>
      <c r="O32" s="214"/>
      <c r="P32" s="38"/>
      <c r="Q32" s="123"/>
      <c r="R32" s="218"/>
    </row>
    <row r="33" spans="1:23" ht="13.15" customHeight="1" x14ac:dyDescent="0.25">
      <c r="A33" s="219" t="s">
        <v>45</v>
      </c>
      <c r="B33" s="213"/>
      <c r="C33" s="214"/>
      <c r="D33" s="209"/>
      <c r="E33" s="210"/>
      <c r="F33" s="210"/>
      <c r="G33" s="211"/>
      <c r="H33" s="212" t="s">
        <v>46</v>
      </c>
      <c r="I33" s="213"/>
      <c r="J33" s="214"/>
      <c r="K33" s="123"/>
      <c r="L33" s="125"/>
      <c r="M33" s="220" t="s">
        <v>37</v>
      </c>
      <c r="N33" s="221"/>
      <c r="O33" s="222"/>
      <c r="P33" s="37"/>
      <c r="Q33" s="123"/>
      <c r="R33" s="218"/>
    </row>
    <row r="34" spans="1:23" ht="33" customHeight="1" x14ac:dyDescent="0.25">
      <c r="A34" s="219" t="s">
        <v>46</v>
      </c>
      <c r="B34" s="213"/>
      <c r="C34" s="214"/>
      <c r="D34" s="209"/>
      <c r="E34" s="210"/>
      <c r="F34" s="210"/>
      <c r="G34" s="211"/>
      <c r="H34" s="212" t="s">
        <v>47</v>
      </c>
      <c r="I34" s="213"/>
      <c r="J34" s="214"/>
      <c r="K34" s="123"/>
      <c r="L34" s="125"/>
      <c r="M34" s="220" t="s">
        <v>48</v>
      </c>
      <c r="N34" s="221"/>
      <c r="O34" s="222"/>
      <c r="P34" s="37"/>
      <c r="Q34" s="123"/>
      <c r="R34" s="218"/>
    </row>
    <row r="35" spans="1:23" ht="13.15" customHeight="1" x14ac:dyDescent="0.25">
      <c r="A35" s="219" t="s">
        <v>47</v>
      </c>
      <c r="B35" s="213"/>
      <c r="C35" s="214"/>
      <c r="D35" s="209"/>
      <c r="E35" s="210"/>
      <c r="F35" s="210"/>
      <c r="G35" s="211"/>
      <c r="H35" s="212" t="s">
        <v>35</v>
      </c>
      <c r="I35" s="213"/>
      <c r="J35" s="214"/>
      <c r="K35" s="123"/>
      <c r="L35" s="125"/>
      <c r="M35" s="220" t="s">
        <v>33</v>
      </c>
      <c r="N35" s="221"/>
      <c r="O35" s="222"/>
      <c r="P35" s="37"/>
      <c r="Q35" s="123"/>
      <c r="R35" s="218"/>
    </row>
    <row r="36" spans="1:23" ht="13.9" customHeight="1" thickBot="1" x14ac:dyDescent="0.3">
      <c r="A36" s="249" t="s">
        <v>35</v>
      </c>
      <c r="B36" s="250"/>
      <c r="C36" s="251"/>
      <c r="D36" s="252"/>
      <c r="E36" s="225"/>
      <c r="F36" s="225"/>
      <c r="G36" s="253"/>
      <c r="H36" s="208"/>
      <c r="I36" s="130"/>
      <c r="J36" s="207"/>
      <c r="K36" s="208"/>
      <c r="L36" s="207"/>
      <c r="M36" s="254" t="s">
        <v>35</v>
      </c>
      <c r="N36" s="250"/>
      <c r="O36" s="251"/>
      <c r="P36" s="39"/>
      <c r="Q36" s="208"/>
      <c r="R36" s="131"/>
    </row>
    <row r="37" spans="1:23" ht="13.5" thickBot="1" x14ac:dyDescent="0.3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3" ht="13.9" customHeight="1" thickBot="1" x14ac:dyDescent="0.3">
      <c r="A38" s="160" t="s">
        <v>49</v>
      </c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2"/>
      <c r="S38" s="20"/>
      <c r="T38" s="20"/>
      <c r="U38" s="20"/>
      <c r="V38" s="20"/>
      <c r="W38" s="20"/>
    </row>
    <row r="39" spans="1:23" ht="13.9" customHeight="1" thickBot="1" x14ac:dyDescent="0.3">
      <c r="A39" s="160" t="s">
        <v>50</v>
      </c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2"/>
      <c r="S39" s="32"/>
      <c r="T39" s="32"/>
      <c r="U39" s="32"/>
      <c r="V39" s="32"/>
      <c r="W39" s="32"/>
    </row>
    <row r="40" spans="1:23" ht="35.1" customHeight="1" thickBot="1" x14ac:dyDescent="0.3">
      <c r="A40" s="163" t="s">
        <v>33</v>
      </c>
      <c r="B40" s="164"/>
      <c r="C40" s="40" t="s">
        <v>51</v>
      </c>
      <c r="D40" s="165" t="s">
        <v>52</v>
      </c>
      <c r="E40" s="166"/>
      <c r="F40" s="164"/>
      <c r="G40" s="165" t="s">
        <v>53</v>
      </c>
      <c r="H40" s="164"/>
      <c r="I40" s="40" t="s">
        <v>54</v>
      </c>
      <c r="J40" s="165" t="s">
        <v>55</v>
      </c>
      <c r="K40" s="164"/>
      <c r="L40" s="40" t="s">
        <v>56</v>
      </c>
      <c r="M40" s="165" t="s">
        <v>57</v>
      </c>
      <c r="N40" s="164"/>
      <c r="O40" s="165" t="s">
        <v>58</v>
      </c>
      <c r="P40" s="166"/>
      <c r="Q40" s="164"/>
      <c r="R40" s="41" t="s">
        <v>37</v>
      </c>
    </row>
    <row r="41" spans="1:23" x14ac:dyDescent="0.25">
      <c r="A41" s="167"/>
      <c r="B41" s="148"/>
      <c r="C41" s="42"/>
      <c r="D41" s="147"/>
      <c r="E41" s="152"/>
      <c r="F41" s="148"/>
      <c r="G41" s="147"/>
      <c r="H41" s="148"/>
      <c r="I41" s="42"/>
      <c r="J41" s="147"/>
      <c r="K41" s="148"/>
      <c r="L41" s="43"/>
      <c r="M41" s="147"/>
      <c r="N41" s="148"/>
      <c r="O41" s="147"/>
      <c r="P41" s="152"/>
      <c r="Q41" s="148"/>
      <c r="R41" s="44"/>
    </row>
    <row r="42" spans="1:23" ht="13.5" thickBot="1" x14ac:dyDescent="0.3">
      <c r="A42" s="45"/>
      <c r="B42" s="46"/>
      <c r="C42" s="47"/>
      <c r="D42" s="48"/>
      <c r="E42" s="49"/>
      <c r="F42" s="46"/>
      <c r="G42" s="50"/>
      <c r="H42" s="51"/>
      <c r="I42" s="50"/>
      <c r="J42" s="50"/>
      <c r="K42" s="51"/>
      <c r="L42" s="52"/>
      <c r="M42" s="50"/>
      <c r="N42" s="51"/>
      <c r="O42" s="53"/>
      <c r="P42" s="53"/>
      <c r="Q42" s="51"/>
      <c r="R42" s="54"/>
    </row>
    <row r="43" spans="1:23" ht="13.5" thickBot="1" x14ac:dyDescent="0.3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7"/>
    </row>
    <row r="44" spans="1:23" ht="13.9" customHeight="1" thickBot="1" x14ac:dyDescent="0.3">
      <c r="A44" s="160" t="s">
        <v>59</v>
      </c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2"/>
    </row>
    <row r="45" spans="1:23" s="59" customFormat="1" ht="35.1" customHeight="1" thickBot="1" x14ac:dyDescent="0.3">
      <c r="A45" s="163" t="s">
        <v>33</v>
      </c>
      <c r="B45" s="164"/>
      <c r="C45" s="47" t="s">
        <v>51</v>
      </c>
      <c r="D45" s="165" t="s">
        <v>52</v>
      </c>
      <c r="E45" s="166"/>
      <c r="F45" s="164"/>
      <c r="G45" s="165" t="s">
        <v>53</v>
      </c>
      <c r="H45" s="164"/>
      <c r="I45" s="48" t="s">
        <v>54</v>
      </c>
      <c r="J45" s="165" t="s">
        <v>60</v>
      </c>
      <c r="K45" s="164"/>
      <c r="L45" s="47" t="s">
        <v>56</v>
      </c>
      <c r="M45" s="165" t="s">
        <v>57</v>
      </c>
      <c r="N45" s="164"/>
      <c r="O45" s="165" t="s">
        <v>58</v>
      </c>
      <c r="P45" s="166"/>
      <c r="Q45" s="164"/>
      <c r="R45" s="58" t="s">
        <v>37</v>
      </c>
    </row>
    <row r="46" spans="1:23" x14ac:dyDescent="0.25">
      <c r="A46" s="167"/>
      <c r="B46" s="148"/>
      <c r="C46" s="60"/>
      <c r="D46" s="147"/>
      <c r="E46" s="152"/>
      <c r="F46" s="148"/>
      <c r="G46" s="147"/>
      <c r="H46" s="148"/>
      <c r="I46" s="42"/>
      <c r="J46" s="147"/>
      <c r="K46" s="148"/>
      <c r="L46" s="61"/>
      <c r="M46" s="147"/>
      <c r="N46" s="148"/>
      <c r="O46" s="147"/>
      <c r="P46" s="152"/>
      <c r="Q46" s="148"/>
      <c r="R46" s="62"/>
    </row>
    <row r="47" spans="1:23" x14ac:dyDescent="0.25">
      <c r="A47" s="256"/>
      <c r="B47" s="125"/>
      <c r="C47" s="63"/>
      <c r="D47" s="123"/>
      <c r="E47" s="124"/>
      <c r="F47" s="125"/>
      <c r="G47" s="123"/>
      <c r="H47" s="125"/>
      <c r="I47" s="63"/>
      <c r="J47" s="123"/>
      <c r="K47" s="125"/>
      <c r="L47" s="64"/>
      <c r="M47" s="123"/>
      <c r="N47" s="125"/>
      <c r="O47" s="123"/>
      <c r="P47" s="124"/>
      <c r="Q47" s="125"/>
      <c r="R47" s="65"/>
    </row>
    <row r="48" spans="1:23" ht="13.5" thickBot="1" x14ac:dyDescent="0.3">
      <c r="A48" s="129"/>
      <c r="B48" s="207"/>
      <c r="C48" s="66"/>
      <c r="D48" s="208"/>
      <c r="E48" s="130"/>
      <c r="F48" s="207"/>
      <c r="G48" s="208"/>
      <c r="H48" s="207"/>
      <c r="I48" s="66"/>
      <c r="J48" s="208"/>
      <c r="K48" s="207"/>
      <c r="L48" s="67"/>
      <c r="M48" s="208"/>
      <c r="N48" s="207"/>
      <c r="O48" s="208"/>
      <c r="P48" s="130"/>
      <c r="Q48" s="207"/>
      <c r="R48" s="68"/>
    </row>
    <row r="49" spans="1:18" ht="13.5" thickBot="1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</row>
    <row r="50" spans="1:18" ht="13.5" customHeight="1" thickBot="1" x14ac:dyDescent="0.3">
      <c r="A50" s="160" t="s">
        <v>61</v>
      </c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2"/>
    </row>
    <row r="51" spans="1:18" ht="12.75" customHeight="1" x14ac:dyDescent="0.25">
      <c r="A51" s="277" t="s">
        <v>62</v>
      </c>
      <c r="B51" s="278"/>
      <c r="C51" s="278"/>
      <c r="D51" s="278"/>
      <c r="E51" s="279"/>
      <c r="F51" s="147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255"/>
    </row>
    <row r="52" spans="1:18" ht="12.75" customHeight="1" x14ac:dyDescent="0.25">
      <c r="A52" s="280" t="s">
        <v>63</v>
      </c>
      <c r="B52" s="281"/>
      <c r="C52" s="281"/>
      <c r="D52" s="281"/>
      <c r="E52" s="282"/>
      <c r="F52" s="123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218"/>
    </row>
    <row r="53" spans="1:18" ht="12.75" customHeight="1" x14ac:dyDescent="0.25">
      <c r="A53" s="280" t="s">
        <v>64</v>
      </c>
      <c r="B53" s="281"/>
      <c r="C53" s="281"/>
      <c r="D53" s="281"/>
      <c r="E53" s="282"/>
      <c r="F53" s="123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18"/>
    </row>
    <row r="54" spans="1:18" ht="12.75" customHeight="1" x14ac:dyDescent="0.25">
      <c r="A54" s="280" t="s">
        <v>65</v>
      </c>
      <c r="B54" s="281"/>
      <c r="C54" s="281"/>
      <c r="D54" s="281"/>
      <c r="E54" s="282"/>
      <c r="F54" s="123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218"/>
    </row>
    <row r="55" spans="1:18" ht="12.75" customHeight="1" x14ac:dyDescent="0.25">
      <c r="A55" s="280" t="s">
        <v>66</v>
      </c>
      <c r="B55" s="281"/>
      <c r="C55" s="281"/>
      <c r="D55" s="281"/>
      <c r="E55" s="282"/>
      <c r="F55" s="123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218"/>
    </row>
    <row r="56" spans="1:18" ht="12.75" customHeight="1" x14ac:dyDescent="0.25">
      <c r="A56" s="280" t="s">
        <v>67</v>
      </c>
      <c r="B56" s="281"/>
      <c r="C56" s="281"/>
      <c r="D56" s="281"/>
      <c r="E56" s="282"/>
      <c r="F56" s="284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6"/>
    </row>
    <row r="57" spans="1:18" ht="12.75" customHeight="1" x14ac:dyDescent="0.25">
      <c r="A57" s="283" t="s">
        <v>68</v>
      </c>
      <c r="B57" s="281"/>
      <c r="C57" s="281"/>
      <c r="D57" s="281"/>
      <c r="E57" s="282"/>
      <c r="F57" s="123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5"/>
    </row>
    <row r="58" spans="1:18" ht="12.75" customHeight="1" x14ac:dyDescent="0.25">
      <c r="A58" s="283" t="s">
        <v>69</v>
      </c>
      <c r="B58" s="281"/>
      <c r="C58" s="281"/>
      <c r="D58" s="281"/>
      <c r="E58" s="282"/>
      <c r="F58" s="123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5"/>
    </row>
    <row r="59" spans="1:18" ht="13.5" thickBot="1" x14ac:dyDescent="0.3">
      <c r="A59" s="130"/>
      <c r="B59" s="130"/>
      <c r="C59" s="130"/>
      <c r="D59" s="130"/>
      <c r="E59" s="130"/>
    </row>
    <row r="60" spans="1:18" ht="13.9" customHeight="1" thickBot="1" x14ac:dyDescent="0.3">
      <c r="A60" s="160" t="s">
        <v>70</v>
      </c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2"/>
    </row>
    <row r="61" spans="1:18" ht="46.5" customHeight="1" thickBot="1" x14ac:dyDescent="0.3">
      <c r="A61" s="163" t="s">
        <v>71</v>
      </c>
      <c r="B61" s="257"/>
      <c r="C61" s="163" t="s">
        <v>72</v>
      </c>
      <c r="D61" s="166"/>
      <c r="E61" s="257"/>
      <c r="F61" s="163" t="s">
        <v>73</v>
      </c>
      <c r="G61" s="257"/>
      <c r="H61" s="163" t="s">
        <v>74</v>
      </c>
      <c r="I61" s="257"/>
      <c r="J61" s="163" t="s">
        <v>75</v>
      </c>
      <c r="K61" s="257"/>
      <c r="L61" s="163" t="s">
        <v>76</v>
      </c>
      <c r="M61" s="257"/>
      <c r="N61" s="163" t="s">
        <v>77</v>
      </c>
      <c r="O61" s="257"/>
      <c r="P61" s="56"/>
      <c r="Q61" s="163" t="s">
        <v>78</v>
      </c>
      <c r="R61" s="257"/>
    </row>
    <row r="62" spans="1:18" ht="33" customHeight="1" x14ac:dyDescent="0.25">
      <c r="A62" s="167"/>
      <c r="B62" s="148"/>
      <c r="C62" s="147"/>
      <c r="D62" s="152"/>
      <c r="E62" s="148"/>
      <c r="F62" s="147" t="s">
        <v>79</v>
      </c>
      <c r="G62" s="148"/>
      <c r="H62" s="147" t="s">
        <v>80</v>
      </c>
      <c r="I62" s="148"/>
      <c r="J62" s="147"/>
      <c r="K62" s="148"/>
      <c r="L62" s="147"/>
      <c r="M62" s="148"/>
      <c r="N62" s="147" t="s">
        <v>81</v>
      </c>
      <c r="O62" s="148"/>
      <c r="P62" s="69"/>
      <c r="Q62" s="147"/>
      <c r="R62" s="255"/>
    </row>
    <row r="63" spans="1:18" ht="31.5" customHeight="1" x14ac:dyDescent="0.25">
      <c r="A63" s="256"/>
      <c r="B63" s="125"/>
      <c r="C63" s="123"/>
      <c r="D63" s="124"/>
      <c r="E63" s="125"/>
      <c r="F63" s="123"/>
      <c r="G63" s="125"/>
      <c r="H63" s="123"/>
      <c r="I63" s="125"/>
      <c r="J63" s="123"/>
      <c r="K63" s="125"/>
      <c r="L63" s="123"/>
      <c r="M63" s="125"/>
      <c r="N63" s="123" t="s">
        <v>82</v>
      </c>
      <c r="O63" s="125"/>
      <c r="P63" s="70"/>
      <c r="Q63" s="123"/>
      <c r="R63" s="218"/>
    </row>
    <row r="64" spans="1:18" ht="45.75" customHeight="1" thickBot="1" x14ac:dyDescent="0.3">
      <c r="A64" s="129"/>
      <c r="B64" s="207"/>
      <c r="C64" s="208"/>
      <c r="D64" s="130"/>
      <c r="E64" s="207"/>
      <c r="F64" s="208"/>
      <c r="G64" s="207"/>
      <c r="H64" s="208"/>
      <c r="I64" s="207"/>
      <c r="J64" s="208"/>
      <c r="K64" s="207"/>
      <c r="L64" s="208"/>
      <c r="M64" s="207"/>
      <c r="N64" s="208" t="s">
        <v>83</v>
      </c>
      <c r="O64" s="207"/>
      <c r="P64" s="71"/>
      <c r="Q64" s="208"/>
      <c r="R64" s="131"/>
    </row>
    <row r="65" spans="1:24" ht="13.5" thickBot="1" x14ac:dyDescent="0.3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</row>
    <row r="66" spans="1:24" ht="13.9" customHeight="1" thickBot="1" x14ac:dyDescent="0.3">
      <c r="A66" s="160" t="s">
        <v>84</v>
      </c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2"/>
    </row>
    <row r="67" spans="1:24" ht="16.5" customHeight="1" thickBot="1" x14ac:dyDescent="0.3">
      <c r="A67" s="163" t="s">
        <v>85</v>
      </c>
      <c r="B67" s="166"/>
      <c r="C67" s="166"/>
      <c r="D67" s="166"/>
      <c r="E67" s="257"/>
      <c r="F67" s="163" t="s">
        <v>86</v>
      </c>
      <c r="G67" s="166"/>
      <c r="H67" s="166"/>
      <c r="I67" s="257"/>
      <c r="J67" s="163" t="s">
        <v>87</v>
      </c>
      <c r="K67" s="166"/>
      <c r="L67" s="166"/>
      <c r="M67" s="257"/>
      <c r="N67" s="163" t="s">
        <v>88</v>
      </c>
      <c r="O67" s="166"/>
      <c r="P67" s="166"/>
      <c r="Q67" s="166"/>
      <c r="R67" s="257"/>
    </row>
    <row r="68" spans="1:24" ht="13.15" customHeight="1" x14ac:dyDescent="0.25">
      <c r="A68" s="290" t="s">
        <v>89</v>
      </c>
      <c r="B68" s="291"/>
      <c r="C68" s="291"/>
      <c r="D68" s="291"/>
      <c r="E68" s="235"/>
      <c r="F68" s="290" t="s">
        <v>89</v>
      </c>
      <c r="G68" s="291"/>
      <c r="H68" s="291"/>
      <c r="I68" s="235"/>
      <c r="J68" s="290" t="s">
        <v>89</v>
      </c>
      <c r="K68" s="291"/>
      <c r="L68" s="291"/>
      <c r="M68" s="235"/>
      <c r="N68" s="167"/>
      <c r="O68" s="152"/>
      <c r="P68" s="152"/>
      <c r="Q68" s="152"/>
      <c r="R68" s="255"/>
      <c r="X68" s="72"/>
    </row>
    <row r="69" spans="1:24" x14ac:dyDescent="0.25">
      <c r="A69" s="256"/>
      <c r="B69" s="124"/>
      <c r="C69" s="124"/>
      <c r="D69" s="124"/>
      <c r="E69" s="218"/>
      <c r="F69" s="256"/>
      <c r="G69" s="124"/>
      <c r="H69" s="124"/>
      <c r="I69" s="218"/>
      <c r="J69" s="256"/>
      <c r="K69" s="124"/>
      <c r="L69" s="124"/>
      <c r="M69" s="218"/>
      <c r="N69" s="256"/>
      <c r="O69" s="124"/>
      <c r="P69" s="124"/>
      <c r="Q69" s="124"/>
      <c r="R69" s="218"/>
      <c r="X69" s="73"/>
    </row>
    <row r="70" spans="1:24" ht="13.15" customHeight="1" x14ac:dyDescent="0.25">
      <c r="A70" s="126" t="s">
        <v>90</v>
      </c>
      <c r="B70" s="127"/>
      <c r="C70" s="127"/>
      <c r="D70" s="127"/>
      <c r="E70" s="128"/>
      <c r="F70" s="126" t="s">
        <v>90</v>
      </c>
      <c r="G70" s="127"/>
      <c r="H70" s="127"/>
      <c r="I70" s="128"/>
      <c r="J70" s="126" t="s">
        <v>90</v>
      </c>
      <c r="K70" s="127"/>
      <c r="L70" s="127"/>
      <c r="M70" s="128"/>
      <c r="N70" s="256"/>
      <c r="O70" s="124"/>
      <c r="P70" s="124"/>
      <c r="Q70" s="124"/>
      <c r="R70" s="218"/>
    </row>
    <row r="71" spans="1:24" ht="16.149999999999999" customHeight="1" thickBot="1" x14ac:dyDescent="0.3">
      <c r="A71" s="129"/>
      <c r="B71" s="130"/>
      <c r="C71" s="130"/>
      <c r="D71" s="130"/>
      <c r="E71" s="131"/>
      <c r="F71" s="129"/>
      <c r="G71" s="130"/>
      <c r="H71" s="130"/>
      <c r="I71" s="131"/>
      <c r="J71" s="259"/>
      <c r="K71" s="260"/>
      <c r="L71" s="260"/>
      <c r="M71" s="261"/>
      <c r="N71" s="129"/>
      <c r="O71" s="130"/>
      <c r="P71" s="130"/>
      <c r="Q71" s="130"/>
      <c r="R71" s="131"/>
    </row>
    <row r="72" spans="1:24" ht="16.149999999999999" customHeight="1" thickBot="1" x14ac:dyDescent="0.3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</row>
    <row r="73" spans="1:24" ht="16.5" customHeight="1" thickBot="1" x14ac:dyDescent="0.3">
      <c r="A73" s="160" t="s">
        <v>91</v>
      </c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2"/>
    </row>
    <row r="74" spans="1:24" s="75" customFormat="1" ht="50.25" customHeight="1" thickBot="1" x14ac:dyDescent="0.25">
      <c r="A74" s="292" t="s">
        <v>92</v>
      </c>
      <c r="B74" s="293"/>
      <c r="C74" s="293"/>
      <c r="D74" s="293"/>
      <c r="E74" s="293"/>
      <c r="F74" s="293"/>
      <c r="G74" s="293"/>
      <c r="H74" s="293"/>
      <c r="I74" s="293"/>
      <c r="J74" s="293"/>
      <c r="K74" s="74"/>
      <c r="L74" s="264"/>
      <c r="M74" s="264"/>
      <c r="N74" s="264"/>
      <c r="O74" s="264"/>
      <c r="P74" s="264"/>
      <c r="Q74" s="264"/>
      <c r="R74" s="265"/>
    </row>
    <row r="75" spans="1:24" s="75" customFormat="1" ht="15.6" customHeight="1" thickBot="1" x14ac:dyDescent="0.25">
      <c r="A75" s="263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5"/>
    </row>
    <row r="76" spans="1:24" s="75" customFormat="1" ht="15.6" customHeight="1" x14ac:dyDescent="0.2">
      <c r="A76" s="135" t="s">
        <v>93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7"/>
    </row>
    <row r="77" spans="1:24" s="75" customFormat="1" ht="27" customHeight="1" x14ac:dyDescent="0.2">
      <c r="A77" s="76" t="s">
        <v>94</v>
      </c>
      <c r="B77" s="138" t="s">
        <v>95</v>
      </c>
      <c r="C77" s="269"/>
      <c r="D77" s="139"/>
      <c r="E77" s="77" t="s">
        <v>96</v>
      </c>
      <c r="F77" s="138" t="s">
        <v>97</v>
      </c>
      <c r="G77" s="139"/>
      <c r="H77" s="138" t="s">
        <v>98</v>
      </c>
      <c r="I77" s="139"/>
      <c r="J77" s="138" t="s">
        <v>99</v>
      </c>
      <c r="K77" s="139"/>
      <c r="L77" s="138" t="s">
        <v>100</v>
      </c>
      <c r="M77" s="139"/>
      <c r="N77" s="138" t="s">
        <v>101</v>
      </c>
      <c r="O77" s="269"/>
      <c r="P77" s="139"/>
      <c r="Q77" s="138" t="s">
        <v>102</v>
      </c>
      <c r="R77" s="139"/>
    </row>
    <row r="78" spans="1:24" s="75" customFormat="1" ht="15.6" customHeight="1" x14ac:dyDescent="0.2">
      <c r="A78" s="78">
        <v>1</v>
      </c>
      <c r="B78" s="266" t="s">
        <v>103</v>
      </c>
      <c r="C78" s="267"/>
      <c r="D78" s="268"/>
      <c r="E78" s="79" t="s">
        <v>104</v>
      </c>
      <c r="F78" s="266">
        <v>10</v>
      </c>
      <c r="G78" s="268"/>
      <c r="H78" s="140">
        <v>8</v>
      </c>
      <c r="I78" s="141"/>
      <c r="J78" s="140">
        <v>51</v>
      </c>
      <c r="K78" s="141"/>
      <c r="L78" s="142">
        <f>(H78*J78*F78)/1000</f>
        <v>4.08</v>
      </c>
      <c r="M78" s="143"/>
      <c r="N78" s="149">
        <v>25</v>
      </c>
      <c r="O78" s="150"/>
      <c r="P78" s="151"/>
      <c r="Q78" s="140">
        <f>$L78*$N78</f>
        <v>102</v>
      </c>
      <c r="R78" s="141"/>
    </row>
    <row r="79" spans="1:24" s="75" customFormat="1" ht="15.6" customHeight="1" x14ac:dyDescent="0.2">
      <c r="A79" s="80">
        <v>2</v>
      </c>
      <c r="B79" s="123" t="s">
        <v>105</v>
      </c>
      <c r="C79" s="124"/>
      <c r="D79" s="125"/>
      <c r="E79" s="70" t="s">
        <v>106</v>
      </c>
      <c r="F79" s="123">
        <v>2</v>
      </c>
      <c r="G79" s="125"/>
      <c r="H79" s="108">
        <v>3</v>
      </c>
      <c r="I79" s="109"/>
      <c r="J79" s="108">
        <v>120</v>
      </c>
      <c r="K79" s="109"/>
      <c r="L79" s="110">
        <f>(H79*J79*F79)/1000</f>
        <v>0.72</v>
      </c>
      <c r="M79" s="111"/>
      <c r="N79" s="112">
        <v>25</v>
      </c>
      <c r="O79" s="113"/>
      <c r="P79" s="114"/>
      <c r="Q79" s="108">
        <f>$L79*$N79</f>
        <v>18</v>
      </c>
      <c r="R79" s="109"/>
    </row>
    <row r="80" spans="1:24" s="75" customFormat="1" x14ac:dyDescent="0.2">
      <c r="A80" s="80">
        <v>3</v>
      </c>
      <c r="B80" s="117" t="s">
        <v>107</v>
      </c>
      <c r="C80" s="117"/>
      <c r="D80" s="117"/>
      <c r="E80" s="81" t="s">
        <v>104</v>
      </c>
      <c r="F80" s="123">
        <v>20</v>
      </c>
      <c r="G80" s="125"/>
      <c r="H80" s="108">
        <v>12</v>
      </c>
      <c r="I80" s="109"/>
      <c r="J80" s="108">
        <v>250</v>
      </c>
      <c r="K80" s="109"/>
      <c r="L80" s="110">
        <f>(H80*J80*F80)/1000</f>
        <v>60</v>
      </c>
      <c r="M80" s="111"/>
      <c r="N80" s="112">
        <v>25</v>
      </c>
      <c r="O80" s="113"/>
      <c r="P80" s="114"/>
      <c r="Q80" s="108">
        <f t="shared" ref="Q80:Q97" si="0">$L80*$N80</f>
        <v>1500</v>
      </c>
      <c r="R80" s="109"/>
    </row>
    <row r="81" spans="1:18" s="75" customFormat="1" x14ac:dyDescent="0.2">
      <c r="A81" s="80">
        <v>4</v>
      </c>
      <c r="B81" s="123" t="s">
        <v>108</v>
      </c>
      <c r="C81" s="124"/>
      <c r="D81" s="125"/>
      <c r="E81" s="81" t="s">
        <v>104</v>
      </c>
      <c r="F81" s="123">
        <v>35</v>
      </c>
      <c r="G81" s="125"/>
      <c r="H81" s="108">
        <v>24</v>
      </c>
      <c r="I81" s="109"/>
      <c r="J81" s="108">
        <v>90</v>
      </c>
      <c r="K81" s="109"/>
      <c r="L81" s="110">
        <f>(H81*J81*F81)/1000</f>
        <v>75.599999999999994</v>
      </c>
      <c r="M81" s="111"/>
      <c r="N81" s="112">
        <v>25</v>
      </c>
      <c r="O81" s="113"/>
      <c r="P81" s="114"/>
      <c r="Q81" s="108">
        <f t="shared" si="0"/>
        <v>1889.9999999999998</v>
      </c>
      <c r="R81" s="109"/>
    </row>
    <row r="82" spans="1:18" s="75" customFormat="1" ht="25.5" x14ac:dyDescent="0.2">
      <c r="A82" s="80">
        <v>5</v>
      </c>
      <c r="B82" s="123" t="s">
        <v>109</v>
      </c>
      <c r="C82" s="124"/>
      <c r="D82" s="125"/>
      <c r="E82" s="70" t="s">
        <v>110</v>
      </c>
      <c r="F82" s="123">
        <v>1</v>
      </c>
      <c r="G82" s="125"/>
      <c r="H82" s="108">
        <v>12</v>
      </c>
      <c r="I82" s="109"/>
      <c r="J82" s="108">
        <v>220</v>
      </c>
      <c r="K82" s="109"/>
      <c r="L82" s="110">
        <f>(H82*J82*F82)/1000</f>
        <v>2.64</v>
      </c>
      <c r="M82" s="111"/>
      <c r="N82" s="112">
        <v>25</v>
      </c>
      <c r="O82" s="113"/>
      <c r="P82" s="114"/>
      <c r="Q82" s="108">
        <f t="shared" si="0"/>
        <v>66</v>
      </c>
      <c r="R82" s="109"/>
    </row>
    <row r="83" spans="1:18" s="75" customFormat="1" x14ac:dyDescent="0.2">
      <c r="A83" s="80">
        <v>6</v>
      </c>
      <c r="B83" s="123"/>
      <c r="C83" s="124"/>
      <c r="D83" s="125"/>
      <c r="E83" s="70"/>
      <c r="F83" s="123"/>
      <c r="G83" s="125"/>
      <c r="H83" s="108"/>
      <c r="I83" s="109"/>
      <c r="J83" s="108"/>
      <c r="K83" s="109"/>
      <c r="L83" s="110">
        <f t="shared" ref="L83:L97" si="1">(H83*J83*F83)/1000</f>
        <v>0</v>
      </c>
      <c r="M83" s="111"/>
      <c r="N83" s="112">
        <v>25</v>
      </c>
      <c r="O83" s="113"/>
      <c r="P83" s="114"/>
      <c r="Q83" s="108">
        <f t="shared" si="0"/>
        <v>0</v>
      </c>
      <c r="R83" s="109"/>
    </row>
    <row r="84" spans="1:18" s="75" customFormat="1" x14ac:dyDescent="0.2">
      <c r="A84" s="80">
        <v>7</v>
      </c>
      <c r="B84" s="123"/>
      <c r="C84" s="124"/>
      <c r="D84" s="125"/>
      <c r="E84" s="70"/>
      <c r="F84" s="123"/>
      <c r="G84" s="125"/>
      <c r="H84" s="108"/>
      <c r="I84" s="109"/>
      <c r="J84" s="108"/>
      <c r="K84" s="109"/>
      <c r="L84" s="110">
        <f t="shared" si="1"/>
        <v>0</v>
      </c>
      <c r="M84" s="111"/>
      <c r="N84" s="112">
        <v>25</v>
      </c>
      <c r="O84" s="113"/>
      <c r="P84" s="114"/>
      <c r="Q84" s="108">
        <f t="shared" si="0"/>
        <v>0</v>
      </c>
      <c r="R84" s="109"/>
    </row>
    <row r="85" spans="1:18" s="75" customFormat="1" x14ac:dyDescent="0.2">
      <c r="A85" s="80">
        <v>8</v>
      </c>
      <c r="B85" s="123"/>
      <c r="C85" s="124"/>
      <c r="D85" s="125"/>
      <c r="E85" s="70"/>
      <c r="F85" s="123"/>
      <c r="G85" s="125"/>
      <c r="H85" s="108"/>
      <c r="I85" s="109"/>
      <c r="J85" s="108"/>
      <c r="K85" s="109"/>
      <c r="L85" s="110">
        <f t="shared" si="1"/>
        <v>0</v>
      </c>
      <c r="M85" s="111"/>
      <c r="N85" s="112">
        <v>25</v>
      </c>
      <c r="O85" s="113"/>
      <c r="P85" s="114"/>
      <c r="Q85" s="108">
        <f t="shared" si="0"/>
        <v>0</v>
      </c>
      <c r="R85" s="109"/>
    </row>
    <row r="86" spans="1:18" s="75" customFormat="1" x14ac:dyDescent="0.2">
      <c r="A86" s="80">
        <v>9</v>
      </c>
      <c r="B86" s="123"/>
      <c r="C86" s="124"/>
      <c r="D86" s="125"/>
      <c r="E86" s="70"/>
      <c r="F86" s="123"/>
      <c r="G86" s="125"/>
      <c r="H86" s="108"/>
      <c r="I86" s="109"/>
      <c r="J86" s="108"/>
      <c r="K86" s="109"/>
      <c r="L86" s="110">
        <f t="shared" si="1"/>
        <v>0</v>
      </c>
      <c r="M86" s="111"/>
      <c r="N86" s="112">
        <v>25</v>
      </c>
      <c r="O86" s="113"/>
      <c r="P86" s="114"/>
      <c r="Q86" s="108">
        <f t="shared" si="0"/>
        <v>0</v>
      </c>
      <c r="R86" s="109"/>
    </row>
    <row r="87" spans="1:18" s="75" customFormat="1" x14ac:dyDescent="0.2">
      <c r="A87" s="80">
        <v>10</v>
      </c>
      <c r="B87" s="123"/>
      <c r="C87" s="124"/>
      <c r="D87" s="125"/>
      <c r="E87" s="70"/>
      <c r="F87" s="123"/>
      <c r="G87" s="125"/>
      <c r="H87" s="108"/>
      <c r="I87" s="109"/>
      <c r="J87" s="108"/>
      <c r="K87" s="109"/>
      <c r="L87" s="110">
        <f t="shared" si="1"/>
        <v>0</v>
      </c>
      <c r="M87" s="111"/>
      <c r="N87" s="112">
        <v>25</v>
      </c>
      <c r="O87" s="113"/>
      <c r="P87" s="114"/>
      <c r="Q87" s="108">
        <f t="shared" si="0"/>
        <v>0</v>
      </c>
      <c r="R87" s="109"/>
    </row>
    <row r="88" spans="1:18" s="75" customFormat="1" x14ac:dyDescent="0.2">
      <c r="A88" s="80">
        <v>11</v>
      </c>
      <c r="B88" s="123"/>
      <c r="C88" s="124"/>
      <c r="D88" s="125"/>
      <c r="E88" s="70"/>
      <c r="F88" s="123"/>
      <c r="G88" s="125"/>
      <c r="H88" s="108"/>
      <c r="I88" s="109"/>
      <c r="J88" s="108"/>
      <c r="K88" s="109"/>
      <c r="L88" s="110">
        <f t="shared" si="1"/>
        <v>0</v>
      </c>
      <c r="M88" s="111"/>
      <c r="N88" s="112">
        <v>25</v>
      </c>
      <c r="O88" s="113"/>
      <c r="P88" s="114"/>
      <c r="Q88" s="108">
        <f t="shared" si="0"/>
        <v>0</v>
      </c>
      <c r="R88" s="109"/>
    </row>
    <row r="89" spans="1:18" s="75" customFormat="1" x14ac:dyDescent="0.2">
      <c r="A89" s="80">
        <v>12</v>
      </c>
      <c r="B89" s="123"/>
      <c r="C89" s="124"/>
      <c r="D89" s="125"/>
      <c r="E89" s="70"/>
      <c r="F89" s="123"/>
      <c r="G89" s="125"/>
      <c r="H89" s="108"/>
      <c r="I89" s="109"/>
      <c r="J89" s="108"/>
      <c r="K89" s="109"/>
      <c r="L89" s="110">
        <f t="shared" si="1"/>
        <v>0</v>
      </c>
      <c r="M89" s="111"/>
      <c r="N89" s="112">
        <v>25</v>
      </c>
      <c r="O89" s="113"/>
      <c r="P89" s="114"/>
      <c r="Q89" s="108">
        <f t="shared" si="0"/>
        <v>0</v>
      </c>
      <c r="R89" s="109"/>
    </row>
    <row r="90" spans="1:18" s="75" customFormat="1" x14ac:dyDescent="0.2">
      <c r="A90" s="80">
        <v>13</v>
      </c>
      <c r="B90" s="123"/>
      <c r="C90" s="124"/>
      <c r="D90" s="125"/>
      <c r="E90" s="70"/>
      <c r="F90" s="123"/>
      <c r="G90" s="125"/>
      <c r="H90" s="108"/>
      <c r="I90" s="109"/>
      <c r="J90" s="108"/>
      <c r="K90" s="109"/>
      <c r="L90" s="110">
        <f t="shared" si="1"/>
        <v>0</v>
      </c>
      <c r="M90" s="111"/>
      <c r="N90" s="112">
        <v>25</v>
      </c>
      <c r="O90" s="113"/>
      <c r="P90" s="114"/>
      <c r="Q90" s="108">
        <f t="shared" si="0"/>
        <v>0</v>
      </c>
      <c r="R90" s="109"/>
    </row>
    <row r="91" spans="1:18" s="75" customFormat="1" x14ac:dyDescent="0.2">
      <c r="A91" s="80">
        <v>14</v>
      </c>
      <c r="B91" s="123"/>
      <c r="C91" s="124"/>
      <c r="D91" s="125"/>
      <c r="E91" s="70"/>
      <c r="F91" s="123"/>
      <c r="G91" s="125"/>
      <c r="H91" s="108"/>
      <c r="I91" s="109"/>
      <c r="J91" s="108"/>
      <c r="K91" s="109"/>
      <c r="L91" s="110">
        <f t="shared" si="1"/>
        <v>0</v>
      </c>
      <c r="M91" s="111"/>
      <c r="N91" s="112">
        <v>25</v>
      </c>
      <c r="O91" s="113"/>
      <c r="P91" s="114"/>
      <c r="Q91" s="108">
        <f t="shared" si="0"/>
        <v>0</v>
      </c>
      <c r="R91" s="109"/>
    </row>
    <row r="92" spans="1:18" s="75" customFormat="1" x14ac:dyDescent="0.2">
      <c r="A92" s="80">
        <v>15</v>
      </c>
      <c r="B92" s="123"/>
      <c r="C92" s="124"/>
      <c r="D92" s="125"/>
      <c r="E92" s="70"/>
      <c r="F92" s="123"/>
      <c r="G92" s="125"/>
      <c r="H92" s="108"/>
      <c r="I92" s="109"/>
      <c r="J92" s="108"/>
      <c r="K92" s="109"/>
      <c r="L92" s="110">
        <f t="shared" si="1"/>
        <v>0</v>
      </c>
      <c r="M92" s="111"/>
      <c r="N92" s="112">
        <v>25</v>
      </c>
      <c r="O92" s="113"/>
      <c r="P92" s="114"/>
      <c r="Q92" s="108">
        <f t="shared" si="0"/>
        <v>0</v>
      </c>
      <c r="R92" s="109"/>
    </row>
    <row r="93" spans="1:18" s="75" customFormat="1" x14ac:dyDescent="0.2">
      <c r="A93" s="80">
        <v>16</v>
      </c>
      <c r="B93" s="123"/>
      <c r="C93" s="124"/>
      <c r="D93" s="125"/>
      <c r="E93" s="70"/>
      <c r="F93" s="123"/>
      <c r="G93" s="125"/>
      <c r="H93" s="108"/>
      <c r="I93" s="109"/>
      <c r="J93" s="108"/>
      <c r="K93" s="109"/>
      <c r="L93" s="110">
        <f t="shared" si="1"/>
        <v>0</v>
      </c>
      <c r="M93" s="111"/>
      <c r="N93" s="112">
        <v>25</v>
      </c>
      <c r="O93" s="113"/>
      <c r="P93" s="114"/>
      <c r="Q93" s="108">
        <f t="shared" si="0"/>
        <v>0</v>
      </c>
      <c r="R93" s="109"/>
    </row>
    <row r="94" spans="1:18" s="75" customFormat="1" x14ac:dyDescent="0.2">
      <c r="A94" s="80">
        <v>17</v>
      </c>
      <c r="B94" s="123"/>
      <c r="C94" s="124"/>
      <c r="D94" s="125"/>
      <c r="E94" s="70"/>
      <c r="F94" s="123"/>
      <c r="G94" s="125"/>
      <c r="H94" s="108"/>
      <c r="I94" s="109"/>
      <c r="J94" s="108"/>
      <c r="K94" s="109"/>
      <c r="L94" s="110">
        <f t="shared" si="1"/>
        <v>0</v>
      </c>
      <c r="M94" s="111"/>
      <c r="N94" s="112">
        <v>25</v>
      </c>
      <c r="O94" s="113"/>
      <c r="P94" s="114"/>
      <c r="Q94" s="108">
        <f t="shared" si="0"/>
        <v>0</v>
      </c>
      <c r="R94" s="109"/>
    </row>
    <row r="95" spans="1:18" s="75" customFormat="1" x14ac:dyDescent="0.2">
      <c r="A95" s="80">
        <v>18</v>
      </c>
      <c r="B95" s="123"/>
      <c r="C95" s="124"/>
      <c r="D95" s="125"/>
      <c r="E95" s="70"/>
      <c r="F95" s="123"/>
      <c r="G95" s="125"/>
      <c r="H95" s="108"/>
      <c r="I95" s="109"/>
      <c r="J95" s="108"/>
      <c r="K95" s="109"/>
      <c r="L95" s="110">
        <f t="shared" si="1"/>
        <v>0</v>
      </c>
      <c r="M95" s="111"/>
      <c r="N95" s="112">
        <v>25</v>
      </c>
      <c r="O95" s="113"/>
      <c r="P95" s="114"/>
      <c r="Q95" s="108">
        <f t="shared" si="0"/>
        <v>0</v>
      </c>
      <c r="R95" s="109"/>
    </row>
    <row r="96" spans="1:18" s="75" customFormat="1" x14ac:dyDescent="0.2">
      <c r="A96" s="80">
        <v>19</v>
      </c>
      <c r="B96" s="123"/>
      <c r="C96" s="124"/>
      <c r="D96" s="125"/>
      <c r="E96" s="70"/>
      <c r="F96" s="123"/>
      <c r="G96" s="125"/>
      <c r="H96" s="108"/>
      <c r="I96" s="109"/>
      <c r="J96" s="108"/>
      <c r="K96" s="109"/>
      <c r="L96" s="110">
        <f t="shared" si="1"/>
        <v>0</v>
      </c>
      <c r="M96" s="111"/>
      <c r="N96" s="112">
        <v>25</v>
      </c>
      <c r="O96" s="113"/>
      <c r="P96" s="114"/>
      <c r="Q96" s="108">
        <f t="shared" si="0"/>
        <v>0</v>
      </c>
      <c r="R96" s="109"/>
    </row>
    <row r="97" spans="1:18" s="75" customFormat="1" x14ac:dyDescent="0.2">
      <c r="A97" s="80">
        <v>20</v>
      </c>
      <c r="B97" s="123"/>
      <c r="C97" s="124"/>
      <c r="D97" s="125"/>
      <c r="E97" s="70"/>
      <c r="F97" s="123"/>
      <c r="G97" s="125"/>
      <c r="H97" s="108"/>
      <c r="I97" s="109"/>
      <c r="J97" s="108"/>
      <c r="K97" s="109"/>
      <c r="L97" s="110">
        <f t="shared" si="1"/>
        <v>0</v>
      </c>
      <c r="M97" s="111"/>
      <c r="N97" s="112">
        <v>25</v>
      </c>
      <c r="O97" s="113"/>
      <c r="P97" s="114"/>
      <c r="Q97" s="108">
        <f t="shared" si="0"/>
        <v>0</v>
      </c>
      <c r="R97" s="109"/>
    </row>
    <row r="98" spans="1:18" s="75" customFormat="1" ht="15" customHeight="1" x14ac:dyDescent="0.2">
      <c r="A98" s="82"/>
      <c r="B98" s="287" t="s">
        <v>111</v>
      </c>
      <c r="C98" s="288"/>
      <c r="D98" s="288"/>
      <c r="E98" s="288"/>
      <c r="F98" s="288"/>
      <c r="G98" s="289"/>
      <c r="H98" s="145">
        <f>SUM(H78:I97)</f>
        <v>59</v>
      </c>
      <c r="I98" s="146"/>
      <c r="J98" s="145">
        <f>SUM(J78:K97)</f>
        <v>731</v>
      </c>
      <c r="K98" s="146"/>
      <c r="L98" s="156"/>
      <c r="M98" s="157"/>
      <c r="N98" s="112"/>
      <c r="O98" s="113"/>
      <c r="P98" s="114"/>
      <c r="Q98" s="145">
        <f>SUM(Q78:R97)</f>
        <v>3576</v>
      </c>
      <c r="R98" s="146"/>
    </row>
    <row r="99" spans="1:18" s="75" customFormat="1" ht="15.6" customHeight="1" x14ac:dyDescent="0.2">
      <c r="A99" s="262" t="s">
        <v>112</v>
      </c>
      <c r="B99" s="26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</row>
    <row r="100" spans="1:18" s="84" customFormat="1" ht="76.5" x14ac:dyDescent="0.25">
      <c r="A100" s="83" t="s">
        <v>94</v>
      </c>
      <c r="B100" s="133" t="s">
        <v>113</v>
      </c>
      <c r="C100" s="133"/>
      <c r="D100" s="133"/>
      <c r="E100" s="83" t="s">
        <v>96</v>
      </c>
      <c r="F100" s="83" t="s">
        <v>114</v>
      </c>
      <c r="G100" s="76" t="s">
        <v>115</v>
      </c>
      <c r="H100" s="76" t="s">
        <v>116</v>
      </c>
      <c r="I100" s="76" t="s">
        <v>117</v>
      </c>
      <c r="J100" s="76" t="s">
        <v>118</v>
      </c>
      <c r="K100" s="76" t="s">
        <v>98</v>
      </c>
      <c r="L100" s="76" t="s">
        <v>119</v>
      </c>
      <c r="M100" s="76" t="s">
        <v>120</v>
      </c>
      <c r="N100" s="76" t="s">
        <v>121</v>
      </c>
      <c r="O100" s="76" t="s">
        <v>122</v>
      </c>
      <c r="P100" s="76" t="s">
        <v>123</v>
      </c>
      <c r="Q100" s="76" t="s">
        <v>124</v>
      </c>
      <c r="R100" s="83" t="s">
        <v>102</v>
      </c>
    </row>
    <row r="101" spans="1:18" s="84" customFormat="1" ht="15.6" customHeight="1" x14ac:dyDescent="0.25">
      <c r="A101" s="80">
        <v>1</v>
      </c>
      <c r="B101" s="123" t="s">
        <v>103</v>
      </c>
      <c r="C101" s="124"/>
      <c r="D101" s="125"/>
      <c r="E101" s="70" t="s">
        <v>104</v>
      </c>
      <c r="F101" s="83">
        <v>10</v>
      </c>
      <c r="G101" s="83" t="s">
        <v>125</v>
      </c>
      <c r="H101" s="85" t="s">
        <v>126</v>
      </c>
      <c r="I101" s="85">
        <v>0</v>
      </c>
      <c r="J101" s="85">
        <f>F101-I101</f>
        <v>10</v>
      </c>
      <c r="K101" s="85">
        <v>8</v>
      </c>
      <c r="L101" s="85">
        <v>51</v>
      </c>
      <c r="M101" s="85">
        <v>51</v>
      </c>
      <c r="N101" s="86">
        <f>(L101*K101*J101)/1000</f>
        <v>4.08</v>
      </c>
      <c r="O101" s="86">
        <f>(M101*I101*K101)/1000</f>
        <v>0</v>
      </c>
      <c r="P101" s="86">
        <f>N101+O101</f>
        <v>4.08</v>
      </c>
      <c r="Q101" s="86">
        <v>25</v>
      </c>
      <c r="R101" s="87">
        <f>Q101*P101</f>
        <v>102</v>
      </c>
    </row>
    <row r="102" spans="1:18" s="84" customFormat="1" x14ac:dyDescent="0.25">
      <c r="A102" s="80">
        <v>2</v>
      </c>
      <c r="B102" s="123" t="s">
        <v>105</v>
      </c>
      <c r="C102" s="124"/>
      <c r="D102" s="125"/>
      <c r="E102" s="70" t="s">
        <v>106</v>
      </c>
      <c r="F102" s="83">
        <v>2</v>
      </c>
      <c r="G102" s="83" t="s">
        <v>125</v>
      </c>
      <c r="H102" s="85" t="s">
        <v>126</v>
      </c>
      <c r="I102" s="85">
        <v>0</v>
      </c>
      <c r="J102" s="85">
        <f>F102-I102</f>
        <v>2</v>
      </c>
      <c r="K102" s="85">
        <v>3</v>
      </c>
      <c r="L102" s="85">
        <v>120</v>
      </c>
      <c r="M102" s="85">
        <v>120</v>
      </c>
      <c r="N102" s="86">
        <f>(L102*K102*J102)/1000</f>
        <v>0.72</v>
      </c>
      <c r="O102" s="86">
        <f>(M102*I102*K102)/1000</f>
        <v>0</v>
      </c>
      <c r="P102" s="86">
        <f>N102+O102</f>
        <v>0.72</v>
      </c>
      <c r="Q102" s="86">
        <v>25</v>
      </c>
      <c r="R102" s="87">
        <f t="shared" ref="R102:R104" si="2">Q102*P102</f>
        <v>18</v>
      </c>
    </row>
    <row r="103" spans="1:18" s="84" customFormat="1" ht="38.25" x14ac:dyDescent="0.25">
      <c r="A103" s="80">
        <v>3</v>
      </c>
      <c r="B103" s="134" t="s">
        <v>107</v>
      </c>
      <c r="C103" s="134"/>
      <c r="D103" s="134"/>
      <c r="E103" s="80" t="s">
        <v>104</v>
      </c>
      <c r="F103" s="83">
        <v>20</v>
      </c>
      <c r="G103" s="83" t="s">
        <v>127</v>
      </c>
      <c r="H103" s="88" t="s">
        <v>128</v>
      </c>
      <c r="I103" s="85">
        <v>8</v>
      </c>
      <c r="J103" s="85">
        <f>F103-I103</f>
        <v>12</v>
      </c>
      <c r="K103" s="85">
        <v>12</v>
      </c>
      <c r="L103" s="85">
        <v>250</v>
      </c>
      <c r="M103" s="86">
        <v>100</v>
      </c>
      <c r="N103" s="86">
        <f>(L103*K103*J103)/1000</f>
        <v>36</v>
      </c>
      <c r="O103" s="86">
        <f>(M103*I103*K103)/1000</f>
        <v>9.6</v>
      </c>
      <c r="P103" s="86">
        <f>N103+O103</f>
        <v>45.6</v>
      </c>
      <c r="Q103" s="86">
        <v>25</v>
      </c>
      <c r="R103" s="87">
        <f t="shared" si="2"/>
        <v>1140</v>
      </c>
    </row>
    <row r="104" spans="1:18" s="84" customFormat="1" ht="38.25" x14ac:dyDescent="0.25">
      <c r="A104" s="80">
        <v>4</v>
      </c>
      <c r="B104" s="123" t="s">
        <v>108</v>
      </c>
      <c r="C104" s="124"/>
      <c r="D104" s="125"/>
      <c r="E104" s="80" t="s">
        <v>104</v>
      </c>
      <c r="F104" s="83">
        <v>35</v>
      </c>
      <c r="G104" s="83" t="s">
        <v>127</v>
      </c>
      <c r="H104" s="88" t="s">
        <v>128</v>
      </c>
      <c r="I104" s="85">
        <v>25</v>
      </c>
      <c r="J104" s="85">
        <f>F104-I104</f>
        <v>10</v>
      </c>
      <c r="K104" s="85">
        <v>24</v>
      </c>
      <c r="L104" s="85">
        <v>90</v>
      </c>
      <c r="M104" s="86">
        <v>50</v>
      </c>
      <c r="N104" s="86">
        <f>(L104*K104*J104)/1000</f>
        <v>21.6</v>
      </c>
      <c r="O104" s="86">
        <f>(M104*I104*K104)/1000</f>
        <v>30</v>
      </c>
      <c r="P104" s="86">
        <f>N104+O104</f>
        <v>51.6</v>
      </c>
      <c r="Q104" s="86">
        <v>25</v>
      </c>
      <c r="R104" s="87">
        <f t="shared" si="2"/>
        <v>1290</v>
      </c>
    </row>
    <row r="105" spans="1:18" s="75" customFormat="1" x14ac:dyDescent="0.2">
      <c r="A105" s="80">
        <v>5</v>
      </c>
      <c r="B105" s="117"/>
      <c r="C105" s="117"/>
      <c r="D105" s="117"/>
      <c r="E105" s="81"/>
      <c r="F105" s="117"/>
      <c r="G105" s="117"/>
      <c r="H105" s="118"/>
      <c r="I105" s="118"/>
      <c r="J105" s="118"/>
      <c r="K105" s="118"/>
      <c r="L105" s="144">
        <f t="shared" ref="L105:L108" si="3">($H105*$K105)/1000</f>
        <v>0</v>
      </c>
      <c r="M105" s="144"/>
      <c r="N105" s="89"/>
      <c r="O105" s="89"/>
      <c r="P105" s="89"/>
      <c r="Q105" s="90"/>
      <c r="R105" s="90"/>
    </row>
    <row r="106" spans="1:18" s="75" customFormat="1" x14ac:dyDescent="0.2">
      <c r="A106" s="80">
        <v>6</v>
      </c>
      <c r="B106" s="117"/>
      <c r="C106" s="117"/>
      <c r="D106" s="117"/>
      <c r="E106" s="81"/>
      <c r="F106" s="117"/>
      <c r="G106" s="117"/>
      <c r="H106" s="118"/>
      <c r="I106" s="118"/>
      <c r="J106" s="118"/>
      <c r="K106" s="118"/>
      <c r="L106" s="144">
        <f t="shared" si="3"/>
        <v>0</v>
      </c>
      <c r="M106" s="144"/>
      <c r="N106" s="89"/>
      <c r="O106" s="89"/>
      <c r="P106" s="89"/>
      <c r="Q106" s="90"/>
      <c r="R106" s="90"/>
    </row>
    <row r="107" spans="1:18" s="75" customFormat="1" x14ac:dyDescent="0.2">
      <c r="A107" s="80">
        <v>7</v>
      </c>
      <c r="B107" s="117"/>
      <c r="C107" s="117"/>
      <c r="D107" s="117"/>
      <c r="E107" s="81"/>
      <c r="F107" s="117"/>
      <c r="G107" s="117"/>
      <c r="H107" s="118"/>
      <c r="I107" s="118"/>
      <c r="J107" s="118"/>
      <c r="K107" s="118"/>
      <c r="L107" s="144">
        <f t="shared" si="3"/>
        <v>0</v>
      </c>
      <c r="M107" s="144"/>
      <c r="N107" s="89"/>
      <c r="O107" s="89"/>
      <c r="P107" s="89"/>
      <c r="Q107" s="90"/>
      <c r="R107" s="90"/>
    </row>
    <row r="108" spans="1:18" s="75" customFormat="1" x14ac:dyDescent="0.2">
      <c r="A108" s="80">
        <v>8</v>
      </c>
      <c r="B108" s="117"/>
      <c r="C108" s="117"/>
      <c r="D108" s="117"/>
      <c r="E108" s="81"/>
      <c r="F108" s="117"/>
      <c r="G108" s="117"/>
      <c r="H108" s="118"/>
      <c r="I108" s="118"/>
      <c r="J108" s="118"/>
      <c r="K108" s="118"/>
      <c r="L108" s="144">
        <f t="shared" si="3"/>
        <v>0</v>
      </c>
      <c r="M108" s="144"/>
      <c r="N108" s="89"/>
      <c r="O108" s="89"/>
      <c r="P108" s="89"/>
      <c r="Q108" s="90"/>
      <c r="R108" s="90"/>
    </row>
    <row r="109" spans="1:18" s="75" customFormat="1" ht="16.149999999999999" customHeight="1" x14ac:dyDescent="0.2">
      <c r="A109" s="91"/>
      <c r="B109" s="116" t="s">
        <v>111</v>
      </c>
      <c r="C109" s="116"/>
      <c r="D109" s="116"/>
      <c r="E109" s="116"/>
      <c r="F109" s="116"/>
      <c r="G109" s="116"/>
      <c r="H109" s="92"/>
      <c r="I109" s="93">
        <f>SUM(I101:I108)</f>
        <v>33</v>
      </c>
      <c r="J109" s="118">
        <f>SUM(J101:K108)</f>
        <v>81</v>
      </c>
      <c r="K109" s="118"/>
      <c r="L109" s="118"/>
      <c r="M109" s="118"/>
      <c r="N109" s="117"/>
      <c r="O109" s="117"/>
      <c r="P109" s="81"/>
      <c r="Q109" s="90"/>
      <c r="R109" s="94">
        <f>SUM(R101:R108)</f>
        <v>2550</v>
      </c>
    </row>
    <row r="110" spans="1:18" s="75" customFormat="1" ht="16.149999999999999" customHeight="1" x14ac:dyDescent="0.2">
      <c r="A110" s="120" t="s">
        <v>129</v>
      </c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2"/>
    </row>
    <row r="111" spans="1:18" s="75" customFormat="1" ht="16.149999999999999" customHeight="1" x14ac:dyDescent="0.2">
      <c r="A111" s="116" t="s">
        <v>130</v>
      </c>
      <c r="B111" s="116"/>
      <c r="C111" s="116"/>
      <c r="D111" s="116"/>
      <c r="E111" s="116"/>
      <c r="F111" s="116"/>
      <c r="G111" s="116"/>
      <c r="H111" s="119"/>
      <c r="I111" s="119"/>
      <c r="J111" s="287" t="s">
        <v>131</v>
      </c>
      <c r="K111" s="288"/>
      <c r="L111" s="288"/>
      <c r="M111" s="288"/>
      <c r="N111" s="288"/>
      <c r="O111" s="288"/>
      <c r="P111" s="289"/>
      <c r="Q111" s="115">
        <f>Q98-R109</f>
        <v>1026</v>
      </c>
      <c r="R111" s="115"/>
    </row>
    <row r="112" spans="1:18" s="75" customFormat="1" ht="14.45" customHeight="1" x14ac:dyDescent="0.2">
      <c r="A112" s="116" t="s">
        <v>132</v>
      </c>
      <c r="B112" s="116"/>
      <c r="C112" s="116"/>
      <c r="D112" s="116"/>
      <c r="E112" s="116"/>
      <c r="F112" s="116"/>
      <c r="G112" s="116"/>
      <c r="H112" s="132">
        <f>H111*Q98</f>
        <v>0</v>
      </c>
      <c r="I112" s="132"/>
      <c r="J112" s="116" t="s">
        <v>133</v>
      </c>
      <c r="K112" s="116"/>
      <c r="L112" s="116"/>
      <c r="M112" s="116"/>
      <c r="N112" s="116"/>
      <c r="O112" s="116"/>
      <c r="P112" s="116"/>
      <c r="Q112" s="132">
        <f>Q111*H111</f>
        <v>0</v>
      </c>
      <c r="R112" s="132"/>
    </row>
    <row r="113" spans="1:23" x14ac:dyDescent="0.2">
      <c r="A113" s="95" t="s">
        <v>134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7"/>
      <c r="T113" s="97"/>
      <c r="U113" s="97"/>
      <c r="V113" s="97"/>
      <c r="W113" s="97"/>
    </row>
    <row r="114" spans="1:23" ht="13.15" customHeight="1" x14ac:dyDescent="0.2">
      <c r="A114" s="271" t="s">
        <v>135</v>
      </c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97"/>
      <c r="T114" s="97"/>
      <c r="U114" s="97"/>
      <c r="V114" s="97"/>
      <c r="W114" s="97"/>
    </row>
    <row r="115" spans="1:23" x14ac:dyDescent="0.2">
      <c r="A115" s="271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97"/>
      <c r="T115" s="97"/>
      <c r="U115" s="97"/>
      <c r="V115" s="97"/>
      <c r="W115" s="97"/>
    </row>
    <row r="116" spans="1:23" ht="13.15" customHeight="1" x14ac:dyDescent="0.2">
      <c r="A116" s="271" t="s">
        <v>136</v>
      </c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97"/>
      <c r="T116" s="97"/>
      <c r="U116" s="97"/>
      <c r="V116" s="97"/>
      <c r="W116" s="97"/>
    </row>
    <row r="117" spans="1:23" ht="13.15" customHeight="1" x14ac:dyDescent="0.2">
      <c r="A117" s="271" t="s">
        <v>137</v>
      </c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97"/>
      <c r="T117" s="97"/>
      <c r="U117" s="97"/>
      <c r="V117" s="97"/>
      <c r="W117" s="97"/>
    </row>
    <row r="118" spans="1:23" ht="15.95" customHeight="1" x14ac:dyDescent="0.2">
      <c r="A118" s="273" t="s">
        <v>138</v>
      </c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97"/>
      <c r="T118" s="97"/>
      <c r="U118" s="97"/>
      <c r="V118" s="97"/>
      <c r="W118" s="97"/>
    </row>
    <row r="119" spans="1:23" x14ac:dyDescent="0.2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7"/>
      <c r="T119" s="97"/>
      <c r="U119" s="97"/>
      <c r="V119" s="97"/>
      <c r="W119" s="97"/>
    </row>
    <row r="120" spans="1:23" x14ac:dyDescent="0.2">
      <c r="A120" s="96"/>
      <c r="B120" s="258"/>
      <c r="C120" s="258"/>
      <c r="D120" s="258"/>
      <c r="E120" s="258"/>
      <c r="F120" s="258"/>
      <c r="G120" s="258"/>
      <c r="H120" s="258"/>
      <c r="I120" s="98"/>
      <c r="J120" s="98"/>
      <c r="K120" s="258"/>
      <c r="L120" s="258"/>
      <c r="M120" s="258"/>
      <c r="N120" s="258"/>
      <c r="O120" s="258"/>
      <c r="P120" s="258"/>
      <c r="Q120" s="258"/>
      <c r="R120" s="96"/>
      <c r="S120" s="96"/>
      <c r="T120" s="96"/>
      <c r="U120" s="96"/>
      <c r="V120" s="96"/>
      <c r="W120" s="96"/>
    </row>
    <row r="121" spans="1:23" x14ac:dyDescent="0.2">
      <c r="A121" s="97"/>
      <c r="B121" s="98"/>
      <c r="C121" s="98"/>
      <c r="D121" s="98" t="s">
        <v>139</v>
      </c>
      <c r="E121" s="98"/>
      <c r="F121" s="99"/>
      <c r="G121" s="98"/>
      <c r="H121" s="98"/>
      <c r="I121" s="98"/>
      <c r="J121" s="98"/>
      <c r="K121" s="99"/>
      <c r="L121" s="99"/>
      <c r="M121" s="100" t="s">
        <v>139</v>
      </c>
      <c r="N121" s="98"/>
      <c r="O121" s="98"/>
      <c r="P121" s="98"/>
      <c r="Q121" s="98"/>
      <c r="R121" s="97"/>
      <c r="S121" s="96"/>
      <c r="T121" s="96"/>
      <c r="U121" s="96"/>
      <c r="V121" s="96"/>
      <c r="W121" s="96"/>
    </row>
    <row r="122" spans="1:23" x14ac:dyDescent="0.2">
      <c r="A122" s="96"/>
      <c r="B122" s="101" t="s">
        <v>140</v>
      </c>
      <c r="C122" s="73"/>
      <c r="D122" s="73"/>
      <c r="E122" s="73"/>
      <c r="F122" s="73"/>
      <c r="G122" s="73"/>
      <c r="H122" s="73"/>
      <c r="I122" s="98"/>
      <c r="J122" s="98"/>
      <c r="K122" s="101" t="s">
        <v>140</v>
      </c>
      <c r="L122" s="73"/>
      <c r="M122" s="73"/>
      <c r="N122" s="73"/>
      <c r="O122" s="73"/>
      <c r="P122" s="73"/>
      <c r="Q122" s="73"/>
      <c r="R122" s="102"/>
      <c r="S122" s="96"/>
      <c r="T122" s="96"/>
      <c r="U122" s="96"/>
      <c r="V122" s="96"/>
      <c r="W122" s="96"/>
    </row>
    <row r="123" spans="1:23" ht="15.75" customHeight="1" x14ac:dyDescent="0.2">
      <c r="A123" s="96"/>
      <c r="B123" s="275" t="s">
        <v>141</v>
      </c>
      <c r="C123" s="275"/>
      <c r="D123" s="100"/>
      <c r="E123" s="100"/>
      <c r="F123" s="100"/>
      <c r="G123" s="100"/>
      <c r="H123" s="100"/>
      <c r="I123" s="98"/>
      <c r="J123" s="98"/>
      <c r="K123" s="101" t="s">
        <v>142</v>
      </c>
      <c r="L123" s="101"/>
      <c r="M123" s="100"/>
      <c r="N123" s="100"/>
      <c r="O123" s="100"/>
      <c r="P123" s="100"/>
      <c r="Q123" s="100"/>
      <c r="R123" s="103"/>
      <c r="S123" s="96"/>
      <c r="T123" s="96"/>
      <c r="U123" s="96"/>
      <c r="V123" s="96"/>
      <c r="W123" s="104"/>
    </row>
    <row r="124" spans="1:23" x14ac:dyDescent="0.2">
      <c r="A124" s="96"/>
      <c r="B124" s="105" t="s">
        <v>143</v>
      </c>
      <c r="C124" s="276"/>
      <c r="D124" s="276"/>
      <c r="E124" s="276"/>
      <c r="F124" s="276"/>
      <c r="G124" s="276"/>
      <c r="H124" s="276"/>
      <c r="I124" s="98"/>
      <c r="J124" s="98"/>
      <c r="K124" s="105" t="s">
        <v>143</v>
      </c>
      <c r="L124" s="276"/>
      <c r="M124" s="276"/>
      <c r="N124" s="276"/>
      <c r="O124" s="276"/>
      <c r="P124" s="276"/>
      <c r="Q124" s="276"/>
      <c r="R124" s="103"/>
      <c r="S124" s="96"/>
      <c r="T124" s="96"/>
      <c r="U124" s="96"/>
      <c r="V124" s="96"/>
      <c r="W124" s="104"/>
    </row>
    <row r="125" spans="1:23" x14ac:dyDescent="0.2">
      <c r="A125" s="96"/>
      <c r="B125" s="105"/>
      <c r="C125" s="106"/>
      <c r="D125" s="106"/>
      <c r="E125" s="106"/>
      <c r="F125" s="106"/>
      <c r="G125" s="106"/>
      <c r="H125" s="106"/>
      <c r="I125" s="98"/>
      <c r="J125" s="98"/>
      <c r="K125" s="105"/>
      <c r="L125" s="106"/>
      <c r="M125" s="106"/>
      <c r="N125" s="106"/>
      <c r="O125" s="106"/>
      <c r="P125" s="106"/>
      <c r="Q125" s="106"/>
      <c r="R125" s="103"/>
      <c r="S125" s="96"/>
      <c r="T125" s="96"/>
      <c r="U125" s="96"/>
      <c r="V125" s="96"/>
      <c r="W125" s="96"/>
    </row>
    <row r="126" spans="1:23" x14ac:dyDescent="0.2">
      <c r="A126" s="96"/>
      <c r="B126" s="258"/>
      <c r="C126" s="258"/>
      <c r="D126" s="258"/>
      <c r="E126" s="258"/>
      <c r="F126" s="258"/>
      <c r="G126" s="258"/>
      <c r="H126" s="258"/>
      <c r="I126" s="98"/>
      <c r="J126" s="98"/>
      <c r="K126" s="258"/>
      <c r="L126" s="258"/>
      <c r="M126" s="258"/>
      <c r="N126" s="258"/>
      <c r="O126" s="258"/>
      <c r="P126" s="258"/>
      <c r="Q126" s="258"/>
      <c r="R126" s="96"/>
      <c r="S126" s="96"/>
      <c r="T126" s="96"/>
      <c r="U126" s="96"/>
      <c r="V126" s="96"/>
      <c r="W126" s="96"/>
    </row>
    <row r="127" spans="1:23" x14ac:dyDescent="0.2">
      <c r="A127" s="96"/>
      <c r="B127" s="98"/>
      <c r="C127" s="98"/>
      <c r="D127" s="98" t="s">
        <v>139</v>
      </c>
      <c r="E127" s="98"/>
      <c r="F127" s="99"/>
      <c r="G127" s="98"/>
      <c r="H127" s="98"/>
      <c r="I127" s="98"/>
      <c r="J127" s="98"/>
      <c r="K127" s="98"/>
      <c r="L127" s="98"/>
      <c r="M127" s="100" t="s">
        <v>139</v>
      </c>
      <c r="N127" s="99"/>
      <c r="O127" s="98"/>
      <c r="P127" s="98"/>
      <c r="Q127" s="98"/>
      <c r="R127" s="96"/>
    </row>
    <row r="128" spans="1:23" x14ac:dyDescent="0.2">
      <c r="A128" s="96"/>
      <c r="B128" s="101" t="s">
        <v>140</v>
      </c>
      <c r="C128" s="73"/>
      <c r="D128" s="73"/>
      <c r="E128" s="73"/>
      <c r="F128" s="73"/>
      <c r="G128" s="73"/>
      <c r="H128" s="73"/>
      <c r="I128" s="98"/>
      <c r="J128" s="98"/>
      <c r="K128" s="101" t="s">
        <v>140</v>
      </c>
      <c r="L128" s="73"/>
      <c r="M128" s="73"/>
      <c r="N128" s="73"/>
      <c r="O128" s="73"/>
      <c r="P128" s="73"/>
      <c r="Q128" s="73"/>
      <c r="R128" s="96"/>
    </row>
    <row r="129" spans="1:18" ht="15.95" customHeight="1" x14ac:dyDescent="0.2">
      <c r="A129" s="96"/>
      <c r="B129" s="270" t="s">
        <v>144</v>
      </c>
      <c r="C129" s="270"/>
      <c r="D129" s="270"/>
      <c r="E129" s="107"/>
      <c r="F129" s="100"/>
      <c r="G129" s="100"/>
      <c r="H129" s="100"/>
      <c r="I129" s="98"/>
      <c r="J129" s="98"/>
      <c r="K129" s="270" t="s">
        <v>144</v>
      </c>
      <c r="L129" s="270"/>
      <c r="M129" s="270"/>
      <c r="N129" s="100"/>
      <c r="O129" s="100"/>
      <c r="P129" s="100"/>
      <c r="Q129" s="100"/>
      <c r="R129" s="96"/>
    </row>
    <row r="130" spans="1:18" x14ac:dyDescent="0.2">
      <c r="A130" s="96"/>
      <c r="B130" s="101" t="s">
        <v>143</v>
      </c>
      <c r="C130" s="106"/>
      <c r="D130" s="106"/>
      <c r="E130" s="106"/>
      <c r="F130" s="106"/>
      <c r="G130" s="106"/>
      <c r="H130" s="106"/>
      <c r="I130" s="98"/>
      <c r="J130" s="98"/>
      <c r="K130" s="101" t="s">
        <v>143</v>
      </c>
      <c r="L130" s="106"/>
      <c r="M130" s="106"/>
      <c r="N130" s="106"/>
      <c r="O130" s="106"/>
      <c r="P130" s="106"/>
      <c r="Q130" s="106"/>
      <c r="R130" s="96"/>
    </row>
  </sheetData>
  <mergeCells count="455">
    <mergeCell ref="A74:J74"/>
    <mergeCell ref="L74:R74"/>
    <mergeCell ref="B86:D86"/>
    <mergeCell ref="B87:D87"/>
    <mergeCell ref="B88:D88"/>
    <mergeCell ref="B89:D89"/>
    <mergeCell ref="B90:D90"/>
    <mergeCell ref="B91:D91"/>
    <mergeCell ref="H83:I83"/>
    <mergeCell ref="J78:K78"/>
    <mergeCell ref="H89:I89"/>
    <mergeCell ref="H90:I90"/>
    <mergeCell ref="H91:I91"/>
    <mergeCell ref="H84:I84"/>
    <mergeCell ref="H85:I85"/>
    <mergeCell ref="H86:I86"/>
    <mergeCell ref="H87:I87"/>
    <mergeCell ref="L86:M86"/>
    <mergeCell ref="L87:M87"/>
    <mergeCell ref="L79:M79"/>
    <mergeCell ref="L77:M77"/>
    <mergeCell ref="J77:K77"/>
    <mergeCell ref="N77:P77"/>
    <mergeCell ref="J85:K85"/>
    <mergeCell ref="A59:E59"/>
    <mergeCell ref="A65:R65"/>
    <mergeCell ref="N68:R68"/>
    <mergeCell ref="F69:I69"/>
    <mergeCell ref="J69:M69"/>
    <mergeCell ref="N69:R69"/>
    <mergeCell ref="N64:O64"/>
    <mergeCell ref="Q64:R64"/>
    <mergeCell ref="A66:R66"/>
    <mergeCell ref="J64:K64"/>
    <mergeCell ref="L64:M64"/>
    <mergeCell ref="C64:E64"/>
    <mergeCell ref="A67:E67"/>
    <mergeCell ref="F68:I68"/>
    <mergeCell ref="J68:M68"/>
    <mergeCell ref="A68:E68"/>
    <mergeCell ref="A69:E69"/>
    <mergeCell ref="N62:O62"/>
    <mergeCell ref="C63:E63"/>
    <mergeCell ref="F67:I67"/>
    <mergeCell ref="J67:M67"/>
    <mergeCell ref="N67:R67"/>
    <mergeCell ref="A64:B64"/>
    <mergeCell ref="F64:G64"/>
    <mergeCell ref="L124:Q124"/>
    <mergeCell ref="Q62:R62"/>
    <mergeCell ref="A63:B63"/>
    <mergeCell ref="F63:G63"/>
    <mergeCell ref="H63:I63"/>
    <mergeCell ref="J63:K63"/>
    <mergeCell ref="L63:M63"/>
    <mergeCell ref="A51:E51"/>
    <mergeCell ref="A52:E52"/>
    <mergeCell ref="A53:E53"/>
    <mergeCell ref="A54:E54"/>
    <mergeCell ref="A55:E55"/>
    <mergeCell ref="A56:E56"/>
    <mergeCell ref="A57:E57"/>
    <mergeCell ref="F58:R58"/>
    <mergeCell ref="F56:R56"/>
    <mergeCell ref="A58:E58"/>
    <mergeCell ref="F55:R55"/>
    <mergeCell ref="F57:R57"/>
    <mergeCell ref="B98:G98"/>
    <mergeCell ref="B94:D94"/>
    <mergeCell ref="B95:D95"/>
    <mergeCell ref="J111:P111"/>
    <mergeCell ref="N96:P96"/>
    <mergeCell ref="B77:D77"/>
    <mergeCell ref="B129:D129"/>
    <mergeCell ref="K129:M129"/>
    <mergeCell ref="A116:R116"/>
    <mergeCell ref="A117:R117"/>
    <mergeCell ref="A118:R118"/>
    <mergeCell ref="A114:R115"/>
    <mergeCell ref="B123:C123"/>
    <mergeCell ref="A73:R73"/>
    <mergeCell ref="B80:D80"/>
    <mergeCell ref="B81:D81"/>
    <mergeCell ref="B82:D82"/>
    <mergeCell ref="B83:D83"/>
    <mergeCell ref="B84:D84"/>
    <mergeCell ref="F78:G78"/>
    <mergeCell ref="F79:G79"/>
    <mergeCell ref="F80:G80"/>
    <mergeCell ref="F81:G81"/>
    <mergeCell ref="F82:G82"/>
    <mergeCell ref="F83:G83"/>
    <mergeCell ref="F84:G84"/>
    <mergeCell ref="J98:K98"/>
    <mergeCell ref="H98:I98"/>
    <mergeCell ref="C124:H124"/>
    <mergeCell ref="B126:H126"/>
    <mergeCell ref="K126:Q126"/>
    <mergeCell ref="B120:H120"/>
    <mergeCell ref="K120:Q120"/>
    <mergeCell ref="F70:I70"/>
    <mergeCell ref="J70:M70"/>
    <mergeCell ref="N70:R70"/>
    <mergeCell ref="F71:I71"/>
    <mergeCell ref="J71:M71"/>
    <mergeCell ref="N71:R71"/>
    <mergeCell ref="B97:D97"/>
    <mergeCell ref="A72:R72"/>
    <mergeCell ref="J89:K89"/>
    <mergeCell ref="J90:K90"/>
    <mergeCell ref="J91:K91"/>
    <mergeCell ref="A99:R99"/>
    <mergeCell ref="A75:R75"/>
    <mergeCell ref="B85:D85"/>
    <mergeCell ref="L88:M88"/>
    <mergeCell ref="N87:P87"/>
    <mergeCell ref="N88:P88"/>
    <mergeCell ref="B78:D78"/>
    <mergeCell ref="B79:D79"/>
    <mergeCell ref="F97:G97"/>
    <mergeCell ref="H64:I64"/>
    <mergeCell ref="A60:R60"/>
    <mergeCell ref="A61:B61"/>
    <mergeCell ref="F61:G61"/>
    <mergeCell ref="H61:I61"/>
    <mergeCell ref="J61:K61"/>
    <mergeCell ref="L61:M61"/>
    <mergeCell ref="N61:O61"/>
    <mergeCell ref="Q61:R61"/>
    <mergeCell ref="C61:E61"/>
    <mergeCell ref="N63:O63"/>
    <mergeCell ref="Q63:R63"/>
    <mergeCell ref="A62:B62"/>
    <mergeCell ref="F62:G62"/>
    <mergeCell ref="H62:I62"/>
    <mergeCell ref="J62:K62"/>
    <mergeCell ref="L62:M62"/>
    <mergeCell ref="C62:E62"/>
    <mergeCell ref="A50:R50"/>
    <mergeCell ref="F51:R51"/>
    <mergeCell ref="F52:R52"/>
    <mergeCell ref="F53:R53"/>
    <mergeCell ref="F54:R54"/>
    <mergeCell ref="A45:B45"/>
    <mergeCell ref="D45:F45"/>
    <mergeCell ref="G45:H45"/>
    <mergeCell ref="J45:K45"/>
    <mergeCell ref="M45:N45"/>
    <mergeCell ref="O45:Q45"/>
    <mergeCell ref="M46:N46"/>
    <mergeCell ref="J46:K46"/>
    <mergeCell ref="G46:H46"/>
    <mergeCell ref="D46:F46"/>
    <mergeCell ref="A46:B46"/>
    <mergeCell ref="O46:Q46"/>
    <mergeCell ref="J48:K48"/>
    <mergeCell ref="M48:N48"/>
    <mergeCell ref="O48:Q48"/>
    <mergeCell ref="A47:B47"/>
    <mergeCell ref="D47:F47"/>
    <mergeCell ref="G47:H47"/>
    <mergeCell ref="J47:K47"/>
    <mergeCell ref="A36:C36"/>
    <mergeCell ref="D36:G36"/>
    <mergeCell ref="H36:J36"/>
    <mergeCell ref="K36:L36"/>
    <mergeCell ref="M36:O36"/>
    <mergeCell ref="Q36:R36"/>
    <mergeCell ref="A35:C35"/>
    <mergeCell ref="D35:G35"/>
    <mergeCell ref="H35:J35"/>
    <mergeCell ref="K35:L35"/>
    <mergeCell ref="M35:O35"/>
    <mergeCell ref="Q35:R35"/>
    <mergeCell ref="A34:C34"/>
    <mergeCell ref="D34:G34"/>
    <mergeCell ref="H34:J34"/>
    <mergeCell ref="K34:L34"/>
    <mergeCell ref="M34:O34"/>
    <mergeCell ref="Q34:R34"/>
    <mergeCell ref="A33:C33"/>
    <mergeCell ref="D33:G33"/>
    <mergeCell ref="H33:J33"/>
    <mergeCell ref="K33:L33"/>
    <mergeCell ref="M33:O33"/>
    <mergeCell ref="Q33:R33"/>
    <mergeCell ref="A32:C32"/>
    <mergeCell ref="D32:G32"/>
    <mergeCell ref="H32:J32"/>
    <mergeCell ref="K32:L32"/>
    <mergeCell ref="M32:O32"/>
    <mergeCell ref="Q32:R32"/>
    <mergeCell ref="A31:C31"/>
    <mergeCell ref="D31:G31"/>
    <mergeCell ref="H31:J31"/>
    <mergeCell ref="K31:L31"/>
    <mergeCell ref="M31:O31"/>
    <mergeCell ref="Q31:R31"/>
    <mergeCell ref="A30:C30"/>
    <mergeCell ref="D30:G30"/>
    <mergeCell ref="H30:J30"/>
    <mergeCell ref="K30:L30"/>
    <mergeCell ref="M30:O30"/>
    <mergeCell ref="Q30:R30"/>
    <mergeCell ref="A29:C29"/>
    <mergeCell ref="D29:G29"/>
    <mergeCell ref="H29:J29"/>
    <mergeCell ref="K29:L29"/>
    <mergeCell ref="M29:O29"/>
    <mergeCell ref="Q29:R29"/>
    <mergeCell ref="D28:G28"/>
    <mergeCell ref="H28:J28"/>
    <mergeCell ref="K28:L28"/>
    <mergeCell ref="M28:O28"/>
    <mergeCell ref="Q28:R28"/>
    <mergeCell ref="A27:C27"/>
    <mergeCell ref="D27:G27"/>
    <mergeCell ref="H27:J27"/>
    <mergeCell ref="K27:L27"/>
    <mergeCell ref="M27:O27"/>
    <mergeCell ref="Q27:R27"/>
    <mergeCell ref="D13:E13"/>
    <mergeCell ref="D10:E10"/>
    <mergeCell ref="A10:B10"/>
    <mergeCell ref="M5:N6"/>
    <mergeCell ref="A8:B8"/>
    <mergeCell ref="C8:F8"/>
    <mergeCell ref="G8:I8"/>
    <mergeCell ref="J8:L8"/>
    <mergeCell ref="M8:N8"/>
    <mergeCell ref="A13:B13"/>
    <mergeCell ref="J13:K13"/>
    <mergeCell ref="H24:J24"/>
    <mergeCell ref="K24:L24"/>
    <mergeCell ref="M24:O24"/>
    <mergeCell ref="Q24:R24"/>
    <mergeCell ref="A23:C23"/>
    <mergeCell ref="D23:G23"/>
    <mergeCell ref="H23:J23"/>
    <mergeCell ref="K23:L23"/>
    <mergeCell ref="M23:O23"/>
    <mergeCell ref="Q23:R23"/>
    <mergeCell ref="V16:W17"/>
    <mergeCell ref="A18:R18"/>
    <mergeCell ref="A19:R19"/>
    <mergeCell ref="A20:R20"/>
    <mergeCell ref="A21:C21"/>
    <mergeCell ref="D21:G21"/>
    <mergeCell ref="H21:J21"/>
    <mergeCell ref="K21:L21"/>
    <mergeCell ref="M21:O21"/>
    <mergeCell ref="Q21:R21"/>
    <mergeCell ref="A16:B17"/>
    <mergeCell ref="C16:C17"/>
    <mergeCell ref="D16:F17"/>
    <mergeCell ref="G16:H17"/>
    <mergeCell ref="L16:O17"/>
    <mergeCell ref="Q16:R17"/>
    <mergeCell ref="A48:B48"/>
    <mergeCell ref="D48:F48"/>
    <mergeCell ref="G48:H48"/>
    <mergeCell ref="D22:G22"/>
    <mergeCell ref="H22:J22"/>
    <mergeCell ref="K22:L22"/>
    <mergeCell ref="M22:O22"/>
    <mergeCell ref="Q22:R22"/>
    <mergeCell ref="A26:C26"/>
    <mergeCell ref="D26:G26"/>
    <mergeCell ref="H26:J26"/>
    <mergeCell ref="K26:L26"/>
    <mergeCell ref="M26:O26"/>
    <mergeCell ref="Q26:R26"/>
    <mergeCell ref="A25:C25"/>
    <mergeCell ref="D25:G25"/>
    <mergeCell ref="H25:J25"/>
    <mergeCell ref="K25:L25"/>
    <mergeCell ref="M25:O25"/>
    <mergeCell ref="Q25:R25"/>
    <mergeCell ref="A22:C22"/>
    <mergeCell ref="A28:C28"/>
    <mergeCell ref="A24:C24"/>
    <mergeCell ref="D24:G24"/>
    <mergeCell ref="O8:R8"/>
    <mergeCell ref="A1:B6"/>
    <mergeCell ref="C1:L1"/>
    <mergeCell ref="M1:N2"/>
    <mergeCell ref="O1:R2"/>
    <mergeCell ref="C2:L2"/>
    <mergeCell ref="C3:L3"/>
    <mergeCell ref="C5:L5"/>
    <mergeCell ref="O3:R4"/>
    <mergeCell ref="C4:L4"/>
    <mergeCell ref="O5:R6"/>
    <mergeCell ref="M3:N4"/>
    <mergeCell ref="H97:I97"/>
    <mergeCell ref="J97:K97"/>
    <mergeCell ref="B92:D92"/>
    <mergeCell ref="B93:D93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H93:I93"/>
    <mergeCell ref="H94:I94"/>
    <mergeCell ref="H95:I95"/>
    <mergeCell ref="H96:I96"/>
    <mergeCell ref="B96:D96"/>
    <mergeCell ref="H92:I92"/>
    <mergeCell ref="J92:K92"/>
    <mergeCell ref="J93:K93"/>
    <mergeCell ref="A15:C15"/>
    <mergeCell ref="J96:K96"/>
    <mergeCell ref="L98:M98"/>
    <mergeCell ref="L97:M97"/>
    <mergeCell ref="L96:M96"/>
    <mergeCell ref="H80:I80"/>
    <mergeCell ref="H81:I81"/>
    <mergeCell ref="H82:I82"/>
    <mergeCell ref="I10:K10"/>
    <mergeCell ref="L10:M10"/>
    <mergeCell ref="M47:N47"/>
    <mergeCell ref="A38:R38"/>
    <mergeCell ref="A39:R39"/>
    <mergeCell ref="A40:B40"/>
    <mergeCell ref="D40:F40"/>
    <mergeCell ref="G40:H40"/>
    <mergeCell ref="J40:K40"/>
    <mergeCell ref="M40:N40"/>
    <mergeCell ref="O40:Q40"/>
    <mergeCell ref="A44:R44"/>
    <mergeCell ref="D41:F41"/>
    <mergeCell ref="A41:B41"/>
    <mergeCell ref="G41:H41"/>
    <mergeCell ref="J41:K41"/>
    <mergeCell ref="M41:N41"/>
    <mergeCell ref="L80:M80"/>
    <mergeCell ref="L81:M81"/>
    <mergeCell ref="L82:M82"/>
    <mergeCell ref="L83:M83"/>
    <mergeCell ref="L84:M84"/>
    <mergeCell ref="L85:M85"/>
    <mergeCell ref="H88:I88"/>
    <mergeCell ref="J86:K86"/>
    <mergeCell ref="J87:K87"/>
    <mergeCell ref="J88:K88"/>
    <mergeCell ref="J80:K80"/>
    <mergeCell ref="J81:K81"/>
    <mergeCell ref="J82:K82"/>
    <mergeCell ref="J83:K83"/>
    <mergeCell ref="J84:K84"/>
    <mergeCell ref="N78:P78"/>
    <mergeCell ref="N79:P79"/>
    <mergeCell ref="N83:P83"/>
    <mergeCell ref="N84:P84"/>
    <mergeCell ref="N85:P85"/>
    <mergeCell ref="N86:P86"/>
    <mergeCell ref="O47:Q47"/>
    <mergeCell ref="O41:Q41"/>
    <mergeCell ref="N97:P97"/>
    <mergeCell ref="N98:P98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93:R93"/>
    <mergeCell ref="Q94:R94"/>
    <mergeCell ref="Q95:R95"/>
    <mergeCell ref="Q98:R98"/>
    <mergeCell ref="Q97:R97"/>
    <mergeCell ref="Q96:R96"/>
    <mergeCell ref="N80:P80"/>
    <mergeCell ref="N81:P81"/>
    <mergeCell ref="N82:P82"/>
    <mergeCell ref="A70:E70"/>
    <mergeCell ref="A71:E71"/>
    <mergeCell ref="H112:I112"/>
    <mergeCell ref="Q112:R112"/>
    <mergeCell ref="B100:D100"/>
    <mergeCell ref="B101:D101"/>
    <mergeCell ref="B102:D102"/>
    <mergeCell ref="B103:D103"/>
    <mergeCell ref="F108:G108"/>
    <mergeCell ref="B108:D108"/>
    <mergeCell ref="A76:R76"/>
    <mergeCell ref="Q77:R77"/>
    <mergeCell ref="Q78:R78"/>
    <mergeCell ref="Q79:R79"/>
    <mergeCell ref="H77:I77"/>
    <mergeCell ref="F77:G77"/>
    <mergeCell ref="H78:I78"/>
    <mergeCell ref="H79:I79"/>
    <mergeCell ref="J79:K79"/>
    <mergeCell ref="L78:M78"/>
    <mergeCell ref="L105:M105"/>
    <mergeCell ref="L106:M106"/>
    <mergeCell ref="L107:M107"/>
    <mergeCell ref="L108:M108"/>
    <mergeCell ref="J105:K105"/>
    <mergeCell ref="J106:K106"/>
    <mergeCell ref="J107:K107"/>
    <mergeCell ref="J108:K108"/>
    <mergeCell ref="B104:D104"/>
    <mergeCell ref="B105:D105"/>
    <mergeCell ref="B106:D106"/>
    <mergeCell ref="H108:I108"/>
    <mergeCell ref="B107:D107"/>
    <mergeCell ref="F105:G105"/>
    <mergeCell ref="F106:G106"/>
    <mergeCell ref="F107:G107"/>
    <mergeCell ref="H105:I105"/>
    <mergeCell ref="H106:I106"/>
    <mergeCell ref="H107:I107"/>
    <mergeCell ref="Q111:R111"/>
    <mergeCell ref="A111:G111"/>
    <mergeCell ref="A112:G112"/>
    <mergeCell ref="J112:P112"/>
    <mergeCell ref="N109:O109"/>
    <mergeCell ref="L109:M109"/>
    <mergeCell ref="J109:K109"/>
    <mergeCell ref="H111:I111"/>
    <mergeCell ref="A110:R110"/>
    <mergeCell ref="B109:G109"/>
    <mergeCell ref="J95:K95"/>
    <mergeCell ref="J94:K94"/>
    <mergeCell ref="L90:M90"/>
    <mergeCell ref="L91:M91"/>
    <mergeCell ref="L92:M92"/>
    <mergeCell ref="L93:M93"/>
    <mergeCell ref="L94:M94"/>
    <mergeCell ref="L95:M95"/>
    <mergeCell ref="N89:P89"/>
    <mergeCell ref="N90:P90"/>
    <mergeCell ref="N91:P91"/>
    <mergeCell ref="N92:P92"/>
    <mergeCell ref="N93:P93"/>
    <mergeCell ref="N94:P94"/>
    <mergeCell ref="L89:M89"/>
    <mergeCell ref="N95:P95"/>
  </mergeCells>
  <pageMargins left="0.7" right="0.7" top="0.75" bottom="0.75" header="0.3" footer="0.3"/>
  <pageSetup paperSize="5" scale="59" orientation="landscape" r:id="rId1"/>
  <rowBreaks count="2" manualBreakCount="2">
    <brk id="36" max="15" man="1"/>
    <brk id="77" max="15" man="1"/>
  </rowBreaks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361950</xdr:colOff>
                <xdr:row>0</xdr:row>
                <xdr:rowOff>114300</xdr:rowOff>
              </from>
              <to>
                <xdr:col>1</xdr:col>
                <xdr:colOff>581025</xdr:colOff>
                <xdr:row>5</xdr:row>
                <xdr:rowOff>66675</xdr:rowOff>
              </to>
            </anchor>
          </objectPr>
        </oleObject>
      </mc:Choice>
      <mc:Fallback>
        <oleObject progId="PBrush" shapeId="1026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Listas!$A$30:$A$40</xm:f>
          </x14:formula1>
          <xm:sqref>C8:F8</xm:sqref>
        </x14:dataValidation>
        <x14:dataValidation type="list" allowBlank="1" showInputMessage="1" showErrorMessage="1">
          <x14:formula1>
            <xm:f>Listas!$A$2:$A$27</xm:f>
          </x14:formula1>
          <xm:sqref>J8:L8</xm:sqref>
        </x14:dataValidation>
        <x14:dataValidation type="list" allowBlank="1" showInputMessage="1" showErrorMessage="1">
          <x14:formula1>
            <xm:f>Listas!$A$43:$A$44</xm:f>
          </x14:formula1>
          <xm:sqref>O8:R8</xm:sqref>
        </x14:dataValidation>
        <x14:dataValidation type="list" allowBlank="1" showInputMessage="1" showErrorMessage="1">
          <x14:formula1>
            <xm:f>Listas!$A$47:$A$77</xm:f>
          </x14:formula1>
          <xm:sqref>F10 O10:P10 F13 L13</xm:sqref>
        </x14:dataValidation>
        <x14:dataValidation type="list" allowBlank="1" showInputMessage="1" showErrorMessage="1">
          <x14:formula1>
            <xm:f>Listas!$A$80:$A$91</xm:f>
          </x14:formula1>
          <xm:sqref>G10 Q10 G13 M13</xm:sqref>
        </x14:dataValidation>
        <x14:dataValidation type="list" allowBlank="1" showInputMessage="1" showErrorMessage="1">
          <x14:formula1>
            <xm:f>Listas!$A$94:$A$232</xm:f>
          </x14:formula1>
          <xm:sqref>H10 R10 H13 N13</xm:sqref>
        </x14:dataValidation>
        <x14:dataValidation type="list" allowBlank="1" showInputMessage="1" showErrorMessage="1">
          <x14:formula1>
            <xm:f>Listas!$A$235:$A$294</xm:f>
          </x14:formula1>
          <xm:sqref>C13</xm:sqref>
        </x14:dataValidation>
        <x14:dataValidation type="list" allowBlank="1" showInputMessage="1" showErrorMessage="1">
          <x14:formula1>
            <xm:f>Listas!$C$7:$C$9</xm:f>
          </x14:formula1>
          <xm:sqref>A69</xm:sqref>
        </x14:dataValidation>
        <x14:dataValidation type="list" allowBlank="1" showInputMessage="1" showErrorMessage="1">
          <x14:formula1>
            <xm:f>Listas!$C$12:$C$16</xm:f>
          </x14:formula1>
          <xm:sqref>A71</xm:sqref>
        </x14:dataValidation>
        <x14:dataValidation type="list" allowBlank="1" showInputMessage="1" showErrorMessage="1">
          <x14:formula1>
            <xm:f>Listas!$C$19:$C$21</xm:f>
          </x14:formula1>
          <xm:sqref>F69:I69</xm:sqref>
        </x14:dataValidation>
        <x14:dataValidation type="list" allowBlank="1" showInputMessage="1" showErrorMessage="1">
          <x14:formula1>
            <xm:f>Listas!$C$37:$C$39</xm:f>
          </x14:formula1>
          <xm:sqref>J71:M71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topLeftCell="A29" workbookViewId="0">
      <selection activeCell="C52" sqref="C52"/>
    </sheetView>
  </sheetViews>
  <sheetFormatPr baseColWidth="10" defaultColWidth="11" defaultRowHeight="15.75" x14ac:dyDescent="0.25"/>
  <cols>
    <col min="1" max="1" width="38.875" customWidth="1"/>
    <col min="3" max="3" width="43" customWidth="1"/>
  </cols>
  <sheetData>
    <row r="1" spans="1:6" x14ac:dyDescent="0.25">
      <c r="A1" s="3" t="s">
        <v>7</v>
      </c>
      <c r="C1" t="s">
        <v>145</v>
      </c>
    </row>
    <row r="2" spans="1:6" x14ac:dyDescent="0.25">
      <c r="A2" s="4" t="s">
        <v>146</v>
      </c>
      <c r="C2" t="s">
        <v>147</v>
      </c>
    </row>
    <row r="3" spans="1:6" x14ac:dyDescent="0.25">
      <c r="A3" s="4" t="s">
        <v>148</v>
      </c>
      <c r="C3" t="s">
        <v>149</v>
      </c>
    </row>
    <row r="4" spans="1:6" x14ac:dyDescent="0.25">
      <c r="A4" s="4" t="s">
        <v>150</v>
      </c>
      <c r="C4" t="s">
        <v>151</v>
      </c>
    </row>
    <row r="5" spans="1:6" x14ac:dyDescent="0.25">
      <c r="A5" s="4" t="s">
        <v>152</v>
      </c>
    </row>
    <row r="6" spans="1:6" ht="15.95" customHeight="1" x14ac:dyDescent="0.25">
      <c r="A6" s="4" t="s">
        <v>153</v>
      </c>
      <c r="C6" s="1" t="s">
        <v>89</v>
      </c>
      <c r="D6" s="1"/>
      <c r="E6" s="1"/>
      <c r="F6" s="1"/>
    </row>
    <row r="7" spans="1:6" x14ac:dyDescent="0.25">
      <c r="A7" s="4" t="s">
        <v>154</v>
      </c>
      <c r="C7" t="s">
        <v>155</v>
      </c>
    </row>
    <row r="8" spans="1:6" x14ac:dyDescent="0.25">
      <c r="A8" s="4" t="s">
        <v>156</v>
      </c>
      <c r="C8" t="s">
        <v>157</v>
      </c>
    </row>
    <row r="9" spans="1:6" x14ac:dyDescent="0.25">
      <c r="A9" s="4" t="s">
        <v>158</v>
      </c>
      <c r="C9" t="s">
        <v>159</v>
      </c>
    </row>
    <row r="10" spans="1:6" x14ac:dyDescent="0.25">
      <c r="A10" s="4" t="s">
        <v>160</v>
      </c>
    </row>
    <row r="11" spans="1:6" x14ac:dyDescent="0.25">
      <c r="A11" s="4" t="s">
        <v>161</v>
      </c>
      <c r="C11" s="2" t="s">
        <v>90</v>
      </c>
    </row>
    <row r="12" spans="1:6" x14ac:dyDescent="0.25">
      <c r="A12" s="4" t="s">
        <v>162</v>
      </c>
      <c r="C12" t="s">
        <v>163</v>
      </c>
    </row>
    <row r="13" spans="1:6" x14ac:dyDescent="0.25">
      <c r="A13" s="4" t="s">
        <v>164</v>
      </c>
      <c r="C13" t="s">
        <v>165</v>
      </c>
    </row>
    <row r="14" spans="1:6" x14ac:dyDescent="0.25">
      <c r="A14" s="4" t="s">
        <v>166</v>
      </c>
      <c r="C14" t="s">
        <v>167</v>
      </c>
    </row>
    <row r="15" spans="1:6" x14ac:dyDescent="0.25">
      <c r="A15" s="4" t="s">
        <v>168</v>
      </c>
      <c r="C15" t="s">
        <v>169</v>
      </c>
    </row>
    <row r="16" spans="1:6" x14ac:dyDescent="0.25">
      <c r="A16" s="4" t="s">
        <v>170</v>
      </c>
      <c r="C16" t="s">
        <v>171</v>
      </c>
    </row>
    <row r="17" spans="1:3" x14ac:dyDescent="0.25">
      <c r="A17" s="4" t="s">
        <v>172</v>
      </c>
    </row>
    <row r="18" spans="1:3" x14ac:dyDescent="0.25">
      <c r="A18" s="4" t="s">
        <v>173</v>
      </c>
      <c r="C18" s="1" t="s">
        <v>89</v>
      </c>
    </row>
    <row r="19" spans="1:3" x14ac:dyDescent="0.25">
      <c r="A19" s="4" t="s">
        <v>174</v>
      </c>
      <c r="C19" t="s">
        <v>175</v>
      </c>
    </row>
    <row r="20" spans="1:3" x14ac:dyDescent="0.25">
      <c r="A20" s="4" t="s">
        <v>176</v>
      </c>
      <c r="C20" t="s">
        <v>177</v>
      </c>
    </row>
    <row r="21" spans="1:3" x14ac:dyDescent="0.25">
      <c r="A21" s="4" t="s">
        <v>178</v>
      </c>
      <c r="C21" t="s">
        <v>179</v>
      </c>
    </row>
    <row r="22" spans="1:3" x14ac:dyDescent="0.25">
      <c r="A22" s="4" t="s">
        <v>180</v>
      </c>
    </row>
    <row r="23" spans="1:3" x14ac:dyDescent="0.25">
      <c r="A23" s="4" t="s">
        <v>181</v>
      </c>
      <c r="C23" s="2" t="s">
        <v>90</v>
      </c>
    </row>
    <row r="24" spans="1:3" x14ac:dyDescent="0.25">
      <c r="A24" s="4" t="s">
        <v>182</v>
      </c>
    </row>
    <row r="25" spans="1:3" x14ac:dyDescent="0.25">
      <c r="A25" s="4" t="s">
        <v>183</v>
      </c>
    </row>
    <row r="26" spans="1:3" x14ac:dyDescent="0.25">
      <c r="A26" s="4" t="s">
        <v>184</v>
      </c>
    </row>
    <row r="27" spans="1:3" x14ac:dyDescent="0.25">
      <c r="A27" s="4" t="s">
        <v>185</v>
      </c>
    </row>
    <row r="28" spans="1:3" x14ac:dyDescent="0.25">
      <c r="A28" s="5"/>
    </row>
    <row r="29" spans="1:3" x14ac:dyDescent="0.25">
      <c r="A29" s="6" t="s">
        <v>6</v>
      </c>
    </row>
    <row r="30" spans="1:3" x14ac:dyDescent="0.25">
      <c r="A30" s="7" t="s">
        <v>186</v>
      </c>
      <c r="C30" s="1" t="s">
        <v>89</v>
      </c>
    </row>
    <row r="31" spans="1:3" x14ac:dyDescent="0.25">
      <c r="A31" s="7" t="s">
        <v>187</v>
      </c>
    </row>
    <row r="32" spans="1:3" x14ac:dyDescent="0.25">
      <c r="A32" s="7" t="s">
        <v>188</v>
      </c>
    </row>
    <row r="33" spans="1:3" x14ac:dyDescent="0.25">
      <c r="A33" s="7" t="s">
        <v>189</v>
      </c>
    </row>
    <row r="34" spans="1:3" x14ac:dyDescent="0.25">
      <c r="A34" s="7" t="s">
        <v>190</v>
      </c>
    </row>
    <row r="35" spans="1:3" x14ac:dyDescent="0.25">
      <c r="A35" s="7" t="s">
        <v>191</v>
      </c>
    </row>
    <row r="36" spans="1:3" x14ac:dyDescent="0.25">
      <c r="A36" s="7" t="s">
        <v>192</v>
      </c>
      <c r="C36" s="2" t="s">
        <v>90</v>
      </c>
    </row>
    <row r="37" spans="1:3" x14ac:dyDescent="0.25">
      <c r="A37" s="7" t="s">
        <v>193</v>
      </c>
      <c r="C37" t="s">
        <v>194</v>
      </c>
    </row>
    <row r="38" spans="1:3" x14ac:dyDescent="0.25">
      <c r="A38" s="7" t="s">
        <v>195</v>
      </c>
      <c r="C38" t="s">
        <v>196</v>
      </c>
    </row>
    <row r="39" spans="1:3" x14ac:dyDescent="0.25">
      <c r="A39" s="7" t="s">
        <v>197</v>
      </c>
      <c r="C39" t="s">
        <v>169</v>
      </c>
    </row>
    <row r="40" spans="1:3" x14ac:dyDescent="0.25">
      <c r="A40" s="7" t="s">
        <v>198</v>
      </c>
    </row>
    <row r="42" spans="1:3" x14ac:dyDescent="0.25">
      <c r="A42" s="3" t="s">
        <v>199</v>
      </c>
    </row>
    <row r="43" spans="1:3" x14ac:dyDescent="0.25">
      <c r="A43" s="8" t="s">
        <v>200</v>
      </c>
    </row>
    <row r="44" spans="1:3" x14ac:dyDescent="0.25">
      <c r="A44" s="8" t="s">
        <v>201</v>
      </c>
    </row>
    <row r="46" spans="1:3" x14ac:dyDescent="0.25">
      <c r="A46" s="3" t="s">
        <v>202</v>
      </c>
    </row>
    <row r="47" spans="1:3" x14ac:dyDescent="0.25">
      <c r="A47" s="5">
        <v>1</v>
      </c>
    </row>
    <row r="48" spans="1:3" x14ac:dyDescent="0.25">
      <c r="A48" s="5">
        <v>2</v>
      </c>
    </row>
    <row r="49" spans="1:1" x14ac:dyDescent="0.25">
      <c r="A49" s="5">
        <v>3</v>
      </c>
    </row>
    <row r="50" spans="1:1" x14ac:dyDescent="0.25">
      <c r="A50" s="5">
        <v>4</v>
      </c>
    </row>
    <row r="51" spans="1:1" x14ac:dyDescent="0.25">
      <c r="A51" s="5">
        <v>5</v>
      </c>
    </row>
    <row r="52" spans="1:1" x14ac:dyDescent="0.25">
      <c r="A52" s="5">
        <v>6</v>
      </c>
    </row>
    <row r="53" spans="1:1" x14ac:dyDescent="0.25">
      <c r="A53" s="5">
        <v>7</v>
      </c>
    </row>
    <row r="54" spans="1:1" x14ac:dyDescent="0.25">
      <c r="A54" s="5">
        <v>8</v>
      </c>
    </row>
    <row r="55" spans="1:1" x14ac:dyDescent="0.25">
      <c r="A55" s="5">
        <v>9</v>
      </c>
    </row>
    <row r="56" spans="1:1" x14ac:dyDescent="0.25">
      <c r="A56" s="5">
        <v>10</v>
      </c>
    </row>
    <row r="57" spans="1:1" x14ac:dyDescent="0.25">
      <c r="A57" s="5">
        <v>11</v>
      </c>
    </row>
    <row r="58" spans="1:1" x14ac:dyDescent="0.25">
      <c r="A58" s="5">
        <v>12</v>
      </c>
    </row>
    <row r="59" spans="1:1" x14ac:dyDescent="0.25">
      <c r="A59" s="5">
        <v>13</v>
      </c>
    </row>
    <row r="60" spans="1:1" x14ac:dyDescent="0.25">
      <c r="A60" s="5">
        <v>14</v>
      </c>
    </row>
    <row r="61" spans="1:1" x14ac:dyDescent="0.25">
      <c r="A61" s="5">
        <v>15</v>
      </c>
    </row>
    <row r="62" spans="1:1" x14ac:dyDescent="0.25">
      <c r="A62" s="5">
        <v>16</v>
      </c>
    </row>
    <row r="63" spans="1:1" x14ac:dyDescent="0.25">
      <c r="A63" s="5">
        <v>17</v>
      </c>
    </row>
    <row r="64" spans="1:1" x14ac:dyDescent="0.25">
      <c r="A64" s="5">
        <v>18</v>
      </c>
    </row>
    <row r="65" spans="1:1" x14ac:dyDescent="0.25">
      <c r="A65" s="5">
        <v>19</v>
      </c>
    </row>
    <row r="66" spans="1:1" x14ac:dyDescent="0.25">
      <c r="A66" s="5">
        <v>20</v>
      </c>
    </row>
    <row r="67" spans="1:1" x14ac:dyDescent="0.25">
      <c r="A67" s="5">
        <v>21</v>
      </c>
    </row>
    <row r="68" spans="1:1" x14ac:dyDescent="0.25">
      <c r="A68" s="5">
        <v>22</v>
      </c>
    </row>
    <row r="69" spans="1:1" x14ac:dyDescent="0.25">
      <c r="A69" s="5">
        <v>23</v>
      </c>
    </row>
    <row r="70" spans="1:1" x14ac:dyDescent="0.25">
      <c r="A70" s="5">
        <v>24</v>
      </c>
    </row>
    <row r="71" spans="1:1" x14ac:dyDescent="0.25">
      <c r="A71" s="5">
        <v>25</v>
      </c>
    </row>
    <row r="72" spans="1:1" x14ac:dyDescent="0.25">
      <c r="A72" s="5">
        <v>26</v>
      </c>
    </row>
    <row r="73" spans="1:1" x14ac:dyDescent="0.25">
      <c r="A73" s="5">
        <v>27</v>
      </c>
    </row>
    <row r="74" spans="1:1" x14ac:dyDescent="0.25">
      <c r="A74" s="5">
        <v>28</v>
      </c>
    </row>
    <row r="75" spans="1:1" x14ac:dyDescent="0.25">
      <c r="A75" s="5">
        <v>29</v>
      </c>
    </row>
    <row r="76" spans="1:1" x14ac:dyDescent="0.25">
      <c r="A76" s="5">
        <v>30</v>
      </c>
    </row>
    <row r="77" spans="1:1" x14ac:dyDescent="0.25">
      <c r="A77" s="5">
        <v>31</v>
      </c>
    </row>
    <row r="78" spans="1:1" x14ac:dyDescent="0.25">
      <c r="A78" s="5"/>
    </row>
    <row r="79" spans="1:1" x14ac:dyDescent="0.25">
      <c r="A79" s="3" t="s">
        <v>203</v>
      </c>
    </row>
    <row r="80" spans="1:1" x14ac:dyDescent="0.25">
      <c r="A80" s="5" t="s">
        <v>204</v>
      </c>
    </row>
    <row r="81" spans="1:1" x14ac:dyDescent="0.25">
      <c r="A81" s="5" t="s">
        <v>205</v>
      </c>
    </row>
    <row r="82" spans="1:1" x14ac:dyDescent="0.25">
      <c r="A82" s="5" t="s">
        <v>206</v>
      </c>
    </row>
    <row r="83" spans="1:1" x14ac:dyDescent="0.25">
      <c r="A83" s="5" t="s">
        <v>207</v>
      </c>
    </row>
    <row r="84" spans="1:1" x14ac:dyDescent="0.25">
      <c r="A84" s="5" t="s">
        <v>208</v>
      </c>
    </row>
    <row r="85" spans="1:1" x14ac:dyDescent="0.25">
      <c r="A85" s="5" t="s">
        <v>209</v>
      </c>
    </row>
    <row r="86" spans="1:1" x14ac:dyDescent="0.25">
      <c r="A86" s="5" t="s">
        <v>210</v>
      </c>
    </row>
    <row r="87" spans="1:1" x14ac:dyDescent="0.25">
      <c r="A87" s="5" t="s">
        <v>211</v>
      </c>
    </row>
    <row r="88" spans="1:1" x14ac:dyDescent="0.25">
      <c r="A88" s="5" t="s">
        <v>212</v>
      </c>
    </row>
    <row r="89" spans="1:1" x14ac:dyDescent="0.25">
      <c r="A89" s="5" t="s">
        <v>213</v>
      </c>
    </row>
    <row r="90" spans="1:1" x14ac:dyDescent="0.25">
      <c r="A90" s="5" t="s">
        <v>214</v>
      </c>
    </row>
    <row r="91" spans="1:1" x14ac:dyDescent="0.25">
      <c r="A91" s="5" t="s">
        <v>215</v>
      </c>
    </row>
    <row r="92" spans="1:1" x14ac:dyDescent="0.25">
      <c r="A92" s="5"/>
    </row>
    <row r="93" spans="1:1" x14ac:dyDescent="0.25">
      <c r="A93" s="3" t="s">
        <v>216</v>
      </c>
    </row>
    <row r="94" spans="1:1" x14ac:dyDescent="0.25">
      <c r="A94" s="5">
        <v>1993</v>
      </c>
    </row>
    <row r="95" spans="1:1" x14ac:dyDescent="0.25">
      <c r="A95" s="5">
        <v>1994</v>
      </c>
    </row>
    <row r="96" spans="1:1" x14ac:dyDescent="0.25">
      <c r="A96" s="5">
        <v>1995</v>
      </c>
    </row>
    <row r="97" spans="1:1" x14ac:dyDescent="0.25">
      <c r="A97" s="5">
        <v>1996</v>
      </c>
    </row>
    <row r="98" spans="1:1" x14ac:dyDescent="0.25">
      <c r="A98" s="5">
        <v>1997</v>
      </c>
    </row>
    <row r="99" spans="1:1" x14ac:dyDescent="0.25">
      <c r="A99" s="5">
        <v>1998</v>
      </c>
    </row>
    <row r="100" spans="1:1" x14ac:dyDescent="0.25">
      <c r="A100" s="5">
        <v>1999</v>
      </c>
    </row>
    <row r="101" spans="1:1" x14ac:dyDescent="0.25">
      <c r="A101" s="5">
        <v>2000</v>
      </c>
    </row>
    <row r="102" spans="1:1" x14ac:dyDescent="0.25">
      <c r="A102" s="5">
        <v>2001</v>
      </c>
    </row>
    <row r="103" spans="1:1" x14ac:dyDescent="0.25">
      <c r="A103" s="5">
        <v>2002</v>
      </c>
    </row>
    <row r="104" spans="1:1" x14ac:dyDescent="0.25">
      <c r="A104" s="5">
        <v>2003</v>
      </c>
    </row>
    <row r="105" spans="1:1" x14ac:dyDescent="0.25">
      <c r="A105" s="5">
        <v>2004</v>
      </c>
    </row>
    <row r="106" spans="1:1" x14ac:dyDescent="0.25">
      <c r="A106" s="5">
        <v>2005</v>
      </c>
    </row>
    <row r="107" spans="1:1" x14ac:dyDescent="0.25">
      <c r="A107" s="5">
        <v>2006</v>
      </c>
    </row>
    <row r="108" spans="1:1" x14ac:dyDescent="0.25">
      <c r="A108" s="5">
        <v>2007</v>
      </c>
    </row>
    <row r="109" spans="1:1" x14ac:dyDescent="0.25">
      <c r="A109" s="5">
        <v>2008</v>
      </c>
    </row>
    <row r="110" spans="1:1" x14ac:dyDescent="0.25">
      <c r="A110" s="5">
        <v>2009</v>
      </c>
    </row>
    <row r="111" spans="1:1" x14ac:dyDescent="0.25">
      <c r="A111" s="5">
        <v>2010</v>
      </c>
    </row>
    <row r="112" spans="1:1" x14ac:dyDescent="0.25">
      <c r="A112" s="5">
        <v>2011</v>
      </c>
    </row>
    <row r="113" spans="1:1" x14ac:dyDescent="0.25">
      <c r="A113" s="5">
        <v>2012</v>
      </c>
    </row>
    <row r="114" spans="1:1" x14ac:dyDescent="0.25">
      <c r="A114" s="5">
        <v>2013</v>
      </c>
    </row>
    <row r="115" spans="1:1" x14ac:dyDescent="0.25">
      <c r="A115" s="5">
        <v>2014</v>
      </c>
    </row>
    <row r="116" spans="1:1" x14ac:dyDescent="0.25">
      <c r="A116" s="5">
        <v>2015</v>
      </c>
    </row>
    <row r="117" spans="1:1" x14ac:dyDescent="0.25">
      <c r="A117" s="5">
        <v>2016</v>
      </c>
    </row>
    <row r="118" spans="1:1" x14ac:dyDescent="0.25">
      <c r="A118" s="5">
        <v>2017</v>
      </c>
    </row>
    <row r="119" spans="1:1" x14ac:dyDescent="0.25">
      <c r="A119" s="5">
        <v>2018</v>
      </c>
    </row>
    <row r="120" spans="1:1" x14ac:dyDescent="0.25">
      <c r="A120" s="5">
        <v>2019</v>
      </c>
    </row>
    <row r="121" spans="1:1" x14ac:dyDescent="0.25">
      <c r="A121" s="5">
        <v>2020</v>
      </c>
    </row>
    <row r="122" spans="1:1" x14ac:dyDescent="0.25">
      <c r="A122" s="5">
        <v>2021</v>
      </c>
    </row>
    <row r="123" spans="1:1" x14ac:dyDescent="0.25">
      <c r="A123" s="5">
        <v>2022</v>
      </c>
    </row>
    <row r="124" spans="1:1" x14ac:dyDescent="0.25">
      <c r="A124" s="5">
        <v>2023</v>
      </c>
    </row>
    <row r="125" spans="1:1" x14ac:dyDescent="0.25">
      <c r="A125" s="5">
        <v>2024</v>
      </c>
    </row>
    <row r="126" spans="1:1" x14ac:dyDescent="0.25">
      <c r="A126" s="5">
        <v>2025</v>
      </c>
    </row>
    <row r="127" spans="1:1" x14ac:dyDescent="0.25">
      <c r="A127" s="5">
        <v>2026</v>
      </c>
    </row>
    <row r="128" spans="1:1" x14ac:dyDescent="0.25">
      <c r="A128" s="5">
        <v>2027</v>
      </c>
    </row>
    <row r="129" spans="1:1" x14ac:dyDescent="0.25">
      <c r="A129" s="5">
        <v>2028</v>
      </c>
    </row>
    <row r="130" spans="1:1" x14ac:dyDescent="0.25">
      <c r="A130" s="5">
        <v>2029</v>
      </c>
    </row>
    <row r="131" spans="1:1" x14ac:dyDescent="0.25">
      <c r="A131" s="5">
        <v>2030</v>
      </c>
    </row>
    <row r="132" spans="1:1" x14ac:dyDescent="0.25">
      <c r="A132" s="5">
        <v>2031</v>
      </c>
    </row>
    <row r="133" spans="1:1" x14ac:dyDescent="0.25">
      <c r="A133" s="5">
        <v>2032</v>
      </c>
    </row>
    <row r="134" spans="1:1" x14ac:dyDescent="0.25">
      <c r="A134" s="5">
        <v>2033</v>
      </c>
    </row>
    <row r="135" spans="1:1" x14ac:dyDescent="0.25">
      <c r="A135" s="5">
        <v>2034</v>
      </c>
    </row>
    <row r="136" spans="1:1" x14ac:dyDescent="0.25">
      <c r="A136" s="5">
        <v>2035</v>
      </c>
    </row>
    <row r="137" spans="1:1" x14ac:dyDescent="0.25">
      <c r="A137" s="5">
        <v>2036</v>
      </c>
    </row>
    <row r="138" spans="1:1" x14ac:dyDescent="0.25">
      <c r="A138" s="5">
        <v>2037</v>
      </c>
    </row>
    <row r="139" spans="1:1" x14ac:dyDescent="0.25">
      <c r="A139" s="5">
        <v>2038</v>
      </c>
    </row>
    <row r="140" spans="1:1" x14ac:dyDescent="0.25">
      <c r="A140" s="5">
        <v>2039</v>
      </c>
    </row>
    <row r="141" spans="1:1" x14ac:dyDescent="0.25">
      <c r="A141" s="5">
        <v>2040</v>
      </c>
    </row>
    <row r="142" spans="1:1" x14ac:dyDescent="0.25">
      <c r="A142" s="5">
        <v>2041</v>
      </c>
    </row>
    <row r="143" spans="1:1" x14ac:dyDescent="0.25">
      <c r="A143" s="5">
        <v>2042</v>
      </c>
    </row>
    <row r="144" spans="1:1" x14ac:dyDescent="0.25">
      <c r="A144" s="5">
        <v>2043</v>
      </c>
    </row>
    <row r="145" spans="1:1" x14ac:dyDescent="0.25">
      <c r="A145" s="5">
        <v>2044</v>
      </c>
    </row>
    <row r="146" spans="1:1" x14ac:dyDescent="0.25">
      <c r="A146" s="5">
        <v>2045</v>
      </c>
    </row>
    <row r="147" spans="1:1" x14ac:dyDescent="0.25">
      <c r="A147" s="5">
        <v>2046</v>
      </c>
    </row>
    <row r="148" spans="1:1" x14ac:dyDescent="0.25">
      <c r="A148" s="5">
        <v>2047</v>
      </c>
    </row>
    <row r="149" spans="1:1" x14ac:dyDescent="0.25">
      <c r="A149" s="5">
        <v>2048</v>
      </c>
    </row>
    <row r="150" spans="1:1" x14ac:dyDescent="0.25">
      <c r="A150" s="5">
        <v>2049</v>
      </c>
    </row>
    <row r="151" spans="1:1" x14ac:dyDescent="0.25">
      <c r="A151" s="5">
        <v>2050</v>
      </c>
    </row>
    <row r="152" spans="1:1" x14ac:dyDescent="0.25">
      <c r="A152" s="5">
        <v>2051</v>
      </c>
    </row>
    <row r="153" spans="1:1" x14ac:dyDescent="0.25">
      <c r="A153" s="5">
        <v>2052</v>
      </c>
    </row>
    <row r="154" spans="1:1" x14ac:dyDescent="0.25">
      <c r="A154" s="5">
        <v>2053</v>
      </c>
    </row>
    <row r="155" spans="1:1" x14ac:dyDescent="0.25">
      <c r="A155" s="5">
        <v>2054</v>
      </c>
    </row>
    <row r="156" spans="1:1" x14ac:dyDescent="0.25">
      <c r="A156" s="5">
        <v>2055</v>
      </c>
    </row>
    <row r="157" spans="1:1" x14ac:dyDescent="0.25">
      <c r="A157" s="5">
        <v>2056</v>
      </c>
    </row>
    <row r="158" spans="1:1" x14ac:dyDescent="0.25">
      <c r="A158" s="5">
        <v>2057</v>
      </c>
    </row>
    <row r="159" spans="1:1" x14ac:dyDescent="0.25">
      <c r="A159" s="5">
        <v>2058</v>
      </c>
    </row>
    <row r="160" spans="1:1" x14ac:dyDescent="0.25">
      <c r="A160" s="5">
        <v>2059</v>
      </c>
    </row>
    <row r="161" spans="1:1" x14ac:dyDescent="0.25">
      <c r="A161" s="5">
        <v>2060</v>
      </c>
    </row>
    <row r="162" spans="1:1" x14ac:dyDescent="0.25">
      <c r="A162" s="5">
        <v>2061</v>
      </c>
    </row>
    <row r="163" spans="1:1" x14ac:dyDescent="0.25">
      <c r="A163" s="5">
        <v>2062</v>
      </c>
    </row>
    <row r="164" spans="1:1" x14ac:dyDescent="0.25">
      <c r="A164" s="5">
        <v>2063</v>
      </c>
    </row>
    <row r="165" spans="1:1" x14ac:dyDescent="0.25">
      <c r="A165" s="5">
        <v>2064</v>
      </c>
    </row>
    <row r="166" spans="1:1" x14ac:dyDescent="0.25">
      <c r="A166" s="5">
        <v>2065</v>
      </c>
    </row>
    <row r="167" spans="1:1" x14ac:dyDescent="0.25">
      <c r="A167" s="5">
        <v>2066</v>
      </c>
    </row>
    <row r="168" spans="1:1" x14ac:dyDescent="0.25">
      <c r="A168" s="5">
        <v>2067</v>
      </c>
    </row>
    <row r="169" spans="1:1" x14ac:dyDescent="0.25">
      <c r="A169" s="5">
        <v>2068</v>
      </c>
    </row>
    <row r="170" spans="1:1" x14ac:dyDescent="0.25">
      <c r="A170" s="5">
        <v>2069</v>
      </c>
    </row>
    <row r="171" spans="1:1" x14ac:dyDescent="0.25">
      <c r="A171" s="5">
        <v>2070</v>
      </c>
    </row>
    <row r="172" spans="1:1" x14ac:dyDescent="0.25">
      <c r="A172" s="5">
        <v>2071</v>
      </c>
    </row>
    <row r="173" spans="1:1" x14ac:dyDescent="0.25">
      <c r="A173" s="5">
        <v>2072</v>
      </c>
    </row>
    <row r="174" spans="1:1" x14ac:dyDescent="0.25">
      <c r="A174" s="5">
        <v>2073</v>
      </c>
    </row>
    <row r="175" spans="1:1" x14ac:dyDescent="0.25">
      <c r="A175" s="5">
        <v>2074</v>
      </c>
    </row>
    <row r="176" spans="1:1" x14ac:dyDescent="0.25">
      <c r="A176" s="5">
        <v>2075</v>
      </c>
    </row>
    <row r="177" spans="1:1" x14ac:dyDescent="0.25">
      <c r="A177" s="5">
        <v>2076</v>
      </c>
    </row>
    <row r="178" spans="1:1" x14ac:dyDescent="0.25">
      <c r="A178" s="5">
        <v>2077</v>
      </c>
    </row>
    <row r="179" spans="1:1" x14ac:dyDescent="0.25">
      <c r="A179" s="5">
        <v>2078</v>
      </c>
    </row>
    <row r="180" spans="1:1" x14ac:dyDescent="0.25">
      <c r="A180" s="5">
        <v>2079</v>
      </c>
    </row>
    <row r="181" spans="1:1" x14ac:dyDescent="0.25">
      <c r="A181" s="5">
        <v>2080</v>
      </c>
    </row>
    <row r="182" spans="1:1" x14ac:dyDescent="0.25">
      <c r="A182" s="5">
        <v>2081</v>
      </c>
    </row>
    <row r="183" spans="1:1" x14ac:dyDescent="0.25">
      <c r="A183" s="5">
        <v>2082</v>
      </c>
    </row>
    <row r="184" spans="1:1" x14ac:dyDescent="0.25">
      <c r="A184" s="5">
        <v>2083</v>
      </c>
    </row>
    <row r="185" spans="1:1" x14ac:dyDescent="0.25">
      <c r="A185" s="5">
        <v>2084</v>
      </c>
    </row>
    <row r="186" spans="1:1" x14ac:dyDescent="0.25">
      <c r="A186" s="5">
        <v>2085</v>
      </c>
    </row>
    <row r="187" spans="1:1" x14ac:dyDescent="0.25">
      <c r="A187" s="5">
        <v>2086</v>
      </c>
    </row>
    <row r="188" spans="1:1" x14ac:dyDescent="0.25">
      <c r="A188" s="5">
        <v>2087</v>
      </c>
    </row>
    <row r="189" spans="1:1" x14ac:dyDescent="0.25">
      <c r="A189" s="5">
        <v>2088</v>
      </c>
    </row>
    <row r="190" spans="1:1" x14ac:dyDescent="0.25">
      <c r="A190" s="5">
        <v>2089</v>
      </c>
    </row>
    <row r="191" spans="1:1" x14ac:dyDescent="0.25">
      <c r="A191" s="5">
        <v>2090</v>
      </c>
    </row>
    <row r="192" spans="1:1" x14ac:dyDescent="0.25">
      <c r="A192" s="5">
        <v>2091</v>
      </c>
    </row>
    <row r="193" spans="1:1" x14ac:dyDescent="0.25">
      <c r="A193" s="5">
        <v>2092</v>
      </c>
    </row>
    <row r="194" spans="1:1" x14ac:dyDescent="0.25">
      <c r="A194" s="5">
        <v>2093</v>
      </c>
    </row>
    <row r="195" spans="1:1" x14ac:dyDescent="0.25">
      <c r="A195" s="5">
        <v>2094</v>
      </c>
    </row>
    <row r="196" spans="1:1" x14ac:dyDescent="0.25">
      <c r="A196" s="5">
        <v>2095</v>
      </c>
    </row>
    <row r="197" spans="1:1" x14ac:dyDescent="0.25">
      <c r="A197" s="5">
        <v>2096</v>
      </c>
    </row>
    <row r="198" spans="1:1" x14ac:dyDescent="0.25">
      <c r="A198" s="5">
        <v>2097</v>
      </c>
    </row>
    <row r="199" spans="1:1" x14ac:dyDescent="0.25">
      <c r="A199" s="5">
        <v>2098</v>
      </c>
    </row>
    <row r="200" spans="1:1" x14ac:dyDescent="0.25">
      <c r="A200" s="5">
        <v>2099</v>
      </c>
    </row>
    <row r="201" spans="1:1" x14ac:dyDescent="0.25">
      <c r="A201" s="5">
        <v>2100</v>
      </c>
    </row>
    <row r="202" spans="1:1" x14ac:dyDescent="0.25">
      <c r="A202" s="5">
        <v>2101</v>
      </c>
    </row>
    <row r="203" spans="1:1" x14ac:dyDescent="0.25">
      <c r="A203" s="5">
        <v>2102</v>
      </c>
    </row>
    <row r="204" spans="1:1" x14ac:dyDescent="0.25">
      <c r="A204" s="5">
        <v>2103</v>
      </c>
    </row>
    <row r="205" spans="1:1" x14ac:dyDescent="0.25">
      <c r="A205" s="5">
        <v>2104</v>
      </c>
    </row>
    <row r="206" spans="1:1" x14ac:dyDescent="0.25">
      <c r="A206" s="5">
        <v>2105</v>
      </c>
    </row>
    <row r="207" spans="1:1" x14ac:dyDescent="0.25">
      <c r="A207" s="5">
        <v>2106</v>
      </c>
    </row>
    <row r="208" spans="1:1" x14ac:dyDescent="0.25">
      <c r="A208" s="5">
        <v>2107</v>
      </c>
    </row>
    <row r="209" spans="1:1" x14ac:dyDescent="0.25">
      <c r="A209" s="5">
        <v>2108</v>
      </c>
    </row>
    <row r="210" spans="1:1" x14ac:dyDescent="0.25">
      <c r="A210" s="5">
        <v>2109</v>
      </c>
    </row>
    <row r="211" spans="1:1" x14ac:dyDescent="0.25">
      <c r="A211" s="5">
        <v>2110</v>
      </c>
    </row>
    <row r="212" spans="1:1" x14ac:dyDescent="0.25">
      <c r="A212" s="5">
        <v>2111</v>
      </c>
    </row>
    <row r="213" spans="1:1" x14ac:dyDescent="0.25">
      <c r="A213" s="5">
        <v>2112</v>
      </c>
    </row>
    <row r="214" spans="1:1" x14ac:dyDescent="0.25">
      <c r="A214" s="5">
        <v>2113</v>
      </c>
    </row>
    <row r="215" spans="1:1" x14ac:dyDescent="0.25">
      <c r="A215" s="5">
        <v>2114</v>
      </c>
    </row>
    <row r="216" spans="1:1" x14ac:dyDescent="0.25">
      <c r="A216" s="5">
        <v>2115</v>
      </c>
    </row>
    <row r="217" spans="1:1" x14ac:dyDescent="0.25">
      <c r="A217" s="5">
        <v>2116</v>
      </c>
    </row>
    <row r="218" spans="1:1" x14ac:dyDescent="0.25">
      <c r="A218" s="5">
        <v>2117</v>
      </c>
    </row>
    <row r="219" spans="1:1" x14ac:dyDescent="0.25">
      <c r="A219" s="5">
        <v>2118</v>
      </c>
    </row>
    <row r="220" spans="1:1" x14ac:dyDescent="0.25">
      <c r="A220" s="5">
        <v>2119</v>
      </c>
    </row>
    <row r="221" spans="1:1" x14ac:dyDescent="0.25">
      <c r="A221" s="5">
        <v>2120</v>
      </c>
    </row>
    <row r="222" spans="1:1" x14ac:dyDescent="0.25">
      <c r="A222" s="5">
        <v>2121</v>
      </c>
    </row>
    <row r="223" spans="1:1" x14ac:dyDescent="0.25">
      <c r="A223" s="5">
        <v>2122</v>
      </c>
    </row>
    <row r="224" spans="1:1" x14ac:dyDescent="0.25">
      <c r="A224" s="5">
        <v>2123</v>
      </c>
    </row>
    <row r="225" spans="1:1" x14ac:dyDescent="0.25">
      <c r="A225" s="5">
        <v>2124</v>
      </c>
    </row>
    <row r="226" spans="1:1" x14ac:dyDescent="0.25">
      <c r="A226" s="5">
        <v>2125</v>
      </c>
    </row>
    <row r="227" spans="1:1" x14ac:dyDescent="0.25">
      <c r="A227" s="5">
        <v>2126</v>
      </c>
    </row>
    <row r="228" spans="1:1" x14ac:dyDescent="0.25">
      <c r="A228" s="5">
        <v>2127</v>
      </c>
    </row>
    <row r="229" spans="1:1" x14ac:dyDescent="0.25">
      <c r="A229" s="5">
        <v>2128</v>
      </c>
    </row>
    <row r="230" spans="1:1" x14ac:dyDescent="0.25">
      <c r="A230" s="5">
        <v>2129</v>
      </c>
    </row>
    <row r="231" spans="1:1" x14ac:dyDescent="0.25">
      <c r="A231" s="5">
        <v>2130</v>
      </c>
    </row>
    <row r="232" spans="1:1" x14ac:dyDescent="0.25">
      <c r="A232" s="5">
        <v>2131</v>
      </c>
    </row>
    <row r="234" spans="1:1" x14ac:dyDescent="0.25">
      <c r="A234" s="3" t="s">
        <v>217</v>
      </c>
    </row>
    <row r="235" spans="1:1" x14ac:dyDescent="0.25">
      <c r="A235" s="5">
        <v>1</v>
      </c>
    </row>
    <row r="236" spans="1:1" x14ac:dyDescent="0.25">
      <c r="A236" s="5">
        <v>2</v>
      </c>
    </row>
    <row r="237" spans="1:1" x14ac:dyDescent="0.25">
      <c r="A237" s="5">
        <v>3</v>
      </c>
    </row>
    <row r="238" spans="1:1" x14ac:dyDescent="0.25">
      <c r="A238" s="5">
        <v>4</v>
      </c>
    </row>
    <row r="239" spans="1:1" x14ac:dyDescent="0.25">
      <c r="A239" s="5">
        <v>5</v>
      </c>
    </row>
    <row r="240" spans="1:1" x14ac:dyDescent="0.25">
      <c r="A240" s="5">
        <v>6</v>
      </c>
    </row>
    <row r="241" spans="1:1" x14ac:dyDescent="0.25">
      <c r="A241" s="5">
        <v>7</v>
      </c>
    </row>
    <row r="242" spans="1:1" x14ac:dyDescent="0.25">
      <c r="A242" s="5">
        <v>8</v>
      </c>
    </row>
    <row r="243" spans="1:1" x14ac:dyDescent="0.25">
      <c r="A243" s="5">
        <v>9</v>
      </c>
    </row>
    <row r="244" spans="1:1" x14ac:dyDescent="0.25">
      <c r="A244" s="5">
        <v>10</v>
      </c>
    </row>
    <row r="245" spans="1:1" x14ac:dyDescent="0.25">
      <c r="A245" s="5">
        <v>11</v>
      </c>
    </row>
    <row r="246" spans="1:1" x14ac:dyDescent="0.25">
      <c r="A246" s="5">
        <v>12</v>
      </c>
    </row>
    <row r="247" spans="1:1" x14ac:dyDescent="0.25">
      <c r="A247" s="5">
        <v>13</v>
      </c>
    </row>
    <row r="248" spans="1:1" x14ac:dyDescent="0.25">
      <c r="A248" s="5">
        <v>14</v>
      </c>
    </row>
    <row r="249" spans="1:1" x14ac:dyDescent="0.25">
      <c r="A249" s="5">
        <v>15</v>
      </c>
    </row>
    <row r="250" spans="1:1" x14ac:dyDescent="0.25">
      <c r="A250" s="5">
        <v>16</v>
      </c>
    </row>
    <row r="251" spans="1:1" x14ac:dyDescent="0.25">
      <c r="A251" s="5">
        <v>17</v>
      </c>
    </row>
    <row r="252" spans="1:1" x14ac:dyDescent="0.25">
      <c r="A252" s="5">
        <v>18</v>
      </c>
    </row>
    <row r="253" spans="1:1" x14ac:dyDescent="0.25">
      <c r="A253" s="5">
        <v>19</v>
      </c>
    </row>
    <row r="254" spans="1:1" x14ac:dyDescent="0.25">
      <c r="A254" s="5">
        <v>20</v>
      </c>
    </row>
    <row r="255" spans="1:1" x14ac:dyDescent="0.25">
      <c r="A255" s="5">
        <v>21</v>
      </c>
    </row>
    <row r="256" spans="1:1" x14ac:dyDescent="0.25">
      <c r="A256" s="5">
        <v>22</v>
      </c>
    </row>
    <row r="257" spans="1:1" x14ac:dyDescent="0.25">
      <c r="A257" s="5">
        <v>23</v>
      </c>
    </row>
    <row r="258" spans="1:1" x14ac:dyDescent="0.25">
      <c r="A258" s="5">
        <v>24</v>
      </c>
    </row>
    <row r="259" spans="1:1" x14ac:dyDescent="0.25">
      <c r="A259" s="5">
        <v>25</v>
      </c>
    </row>
    <row r="260" spans="1:1" x14ac:dyDescent="0.25">
      <c r="A260" s="5">
        <v>26</v>
      </c>
    </row>
    <row r="261" spans="1:1" x14ac:dyDescent="0.25">
      <c r="A261" s="5">
        <v>27</v>
      </c>
    </row>
    <row r="262" spans="1:1" x14ac:dyDescent="0.25">
      <c r="A262" s="5">
        <v>28</v>
      </c>
    </row>
    <row r="263" spans="1:1" x14ac:dyDescent="0.25">
      <c r="A263" s="5">
        <v>29</v>
      </c>
    </row>
    <row r="264" spans="1:1" x14ac:dyDescent="0.25">
      <c r="A264" s="5">
        <v>30</v>
      </c>
    </row>
    <row r="265" spans="1:1" x14ac:dyDescent="0.25">
      <c r="A265" s="5">
        <v>31</v>
      </c>
    </row>
    <row r="266" spans="1:1" x14ac:dyDescent="0.25">
      <c r="A266" s="5">
        <v>32</v>
      </c>
    </row>
    <row r="267" spans="1:1" x14ac:dyDescent="0.25">
      <c r="A267" s="5">
        <v>33</v>
      </c>
    </row>
    <row r="268" spans="1:1" x14ac:dyDescent="0.25">
      <c r="A268" s="5">
        <v>34</v>
      </c>
    </row>
    <row r="269" spans="1:1" x14ac:dyDescent="0.25">
      <c r="A269" s="5">
        <v>35</v>
      </c>
    </row>
    <row r="270" spans="1:1" x14ac:dyDescent="0.25">
      <c r="A270" s="5">
        <v>36</v>
      </c>
    </row>
    <row r="271" spans="1:1" x14ac:dyDescent="0.25">
      <c r="A271" s="5">
        <v>37</v>
      </c>
    </row>
    <row r="272" spans="1:1" x14ac:dyDescent="0.25">
      <c r="A272" s="5">
        <v>38</v>
      </c>
    </row>
    <row r="273" spans="1:1" x14ac:dyDescent="0.25">
      <c r="A273" s="5">
        <v>39</v>
      </c>
    </row>
    <row r="274" spans="1:1" x14ac:dyDescent="0.25">
      <c r="A274" s="5">
        <v>40</v>
      </c>
    </row>
    <row r="275" spans="1:1" x14ac:dyDescent="0.25">
      <c r="A275" s="5">
        <v>41</v>
      </c>
    </row>
    <row r="276" spans="1:1" x14ac:dyDescent="0.25">
      <c r="A276" s="5">
        <v>42</v>
      </c>
    </row>
    <row r="277" spans="1:1" x14ac:dyDescent="0.25">
      <c r="A277" s="5">
        <v>43</v>
      </c>
    </row>
    <row r="278" spans="1:1" x14ac:dyDescent="0.25">
      <c r="A278" s="5">
        <v>44</v>
      </c>
    </row>
    <row r="279" spans="1:1" x14ac:dyDescent="0.25">
      <c r="A279" s="5">
        <v>45</v>
      </c>
    </row>
    <row r="280" spans="1:1" x14ac:dyDescent="0.25">
      <c r="A280" s="5">
        <v>46</v>
      </c>
    </row>
    <row r="281" spans="1:1" x14ac:dyDescent="0.25">
      <c r="A281" s="5">
        <v>47</v>
      </c>
    </row>
    <row r="282" spans="1:1" x14ac:dyDescent="0.25">
      <c r="A282" s="5">
        <v>48</v>
      </c>
    </row>
    <row r="283" spans="1:1" x14ac:dyDescent="0.25">
      <c r="A283" s="5">
        <v>49</v>
      </c>
    </row>
    <row r="284" spans="1:1" x14ac:dyDescent="0.25">
      <c r="A284" s="5">
        <v>50</v>
      </c>
    </row>
    <row r="285" spans="1:1" x14ac:dyDescent="0.25">
      <c r="A285" s="5">
        <v>51</v>
      </c>
    </row>
    <row r="286" spans="1:1" x14ac:dyDescent="0.25">
      <c r="A286" s="5">
        <v>52</v>
      </c>
    </row>
    <row r="287" spans="1:1" x14ac:dyDescent="0.25">
      <c r="A287" s="5">
        <v>53</v>
      </c>
    </row>
    <row r="288" spans="1:1" x14ac:dyDescent="0.25">
      <c r="A288" s="5">
        <v>54</v>
      </c>
    </row>
    <row r="289" spans="1:1" x14ac:dyDescent="0.25">
      <c r="A289" s="5">
        <v>55</v>
      </c>
    </row>
    <row r="290" spans="1:1" x14ac:dyDescent="0.25">
      <c r="A290" s="5">
        <v>56</v>
      </c>
    </row>
    <row r="291" spans="1:1" x14ac:dyDescent="0.25">
      <c r="A291" s="5">
        <v>57</v>
      </c>
    </row>
    <row r="292" spans="1:1" x14ac:dyDescent="0.25">
      <c r="A292" s="5">
        <v>58</v>
      </c>
    </row>
    <row r="293" spans="1:1" x14ac:dyDescent="0.25">
      <c r="A293" s="5">
        <v>59</v>
      </c>
    </row>
    <row r="294" spans="1:1" x14ac:dyDescent="0.25">
      <c r="A294" s="5">
        <v>60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C83AA471CFD54C89FF94069A2BE431" ma:contentTypeVersion="13" ma:contentTypeDescription="Crear nuevo documento." ma:contentTypeScope="" ma:versionID="79a10d7884c419cea25b59ba2179674c">
  <xsd:schema xmlns:xsd="http://www.w3.org/2001/XMLSchema" xmlns:xs="http://www.w3.org/2001/XMLSchema" xmlns:p="http://schemas.microsoft.com/office/2006/metadata/properties" xmlns:ns2="c562b887-780b-4b9e-89ca-3d8930e1f7d5" xmlns:ns3="8f3e5daa-0737-4fc0-bf49-64926580d8d7" targetNamespace="http://schemas.microsoft.com/office/2006/metadata/properties" ma:root="true" ma:fieldsID="78baee2c15a6ded4b21d986dd58d10f1" ns2:_="" ns3:_="">
    <xsd:import namespace="c562b887-780b-4b9e-89ca-3d8930e1f7d5"/>
    <xsd:import namespace="8f3e5daa-0737-4fc0-bf49-64926580d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2b887-780b-4b9e-89ca-3d8930e1f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e5daa-0737-4fc0-bf49-64926580d8d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9CBBD3-336D-49B4-80C0-A691BB6F5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2b887-780b-4b9e-89ca-3d8930e1f7d5"/>
    <ds:schemaRef ds:uri="8f3e5daa-0737-4fc0-bf49-64926580d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80C75-874E-4376-9645-26A950FE5A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5D2805-F21F-4179-ACC3-C629260AE8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MASPS-MN1-IN-7-FR-7</vt:lpstr>
      <vt:lpstr>Listas</vt:lpstr>
      <vt:lpstr>'MASPS-MN1-IN-7-FR-7'!Área_de_impresión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Windows 81</cp:lastModifiedBy>
  <cp:revision/>
  <dcterms:created xsi:type="dcterms:W3CDTF">2020-11-09T13:19:13Z</dcterms:created>
  <dcterms:modified xsi:type="dcterms:W3CDTF">2022-01-22T23:42:02Z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0x010100E8C83AA471CFD54C89FF94069A2BE431</vt:lpwstr>
  </property>
</Properties>
</file>