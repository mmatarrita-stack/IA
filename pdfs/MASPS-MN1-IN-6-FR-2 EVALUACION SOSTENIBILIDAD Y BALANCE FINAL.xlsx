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icrosoft Windows 81\Downloads\5 SOSTENIBILIDAD\5 SOSTENIBILIDAD\"/>
    </mc:Choice>
  </mc:AlternateContent>
  <bookViews>
    <workbookView xWindow="0" yWindow="0" windowWidth="20490" windowHeight="7650" tabRatio="641"/>
  </bookViews>
  <sheets>
    <sheet name="MASPS-MN-IN1-6-FR-2" sheetId="12" r:id="rId1"/>
    <sheet name="Listas" sheetId="13" r:id="rId2"/>
    <sheet name="puntuación Metodología INVIAS" sheetId="11" r:id="rId3"/>
    <sheet name="Priorización por sitio de empla" sheetId="14" r:id="rId4"/>
  </sheets>
  <definedNames>
    <definedName name="_xlnm.Print_Area" localSheetId="0">'MASPS-MN-IN1-6-FR-2'!$A$1:$P$295</definedName>
    <definedName name="_xlnm.Print_Titles" localSheetId="0">'MASPS-MN-IN1-6-FR-2'!$1:$6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2" i="12" l="1"/>
  <c r="J58" i="11" l="1"/>
  <c r="G89" i="12"/>
  <c r="H242" i="12"/>
  <c r="G242" i="12"/>
  <c r="I241" i="12"/>
  <c r="I240" i="12"/>
  <c r="I239" i="12"/>
  <c r="I238" i="12"/>
  <c r="I237" i="12"/>
  <c r="H234" i="12"/>
  <c r="H226" i="12" s="1"/>
  <c r="G234" i="12"/>
  <c r="I233" i="12"/>
  <c r="I232" i="12"/>
  <c r="I231" i="12"/>
  <c r="I230" i="12"/>
  <c r="I229" i="12"/>
  <c r="G226" i="12"/>
  <c r="D257" i="12" s="1"/>
  <c r="H223" i="12"/>
  <c r="G223" i="12"/>
  <c r="I222" i="12"/>
  <c r="I221" i="12"/>
  <c r="I220" i="12"/>
  <c r="I219" i="12"/>
  <c r="I218" i="12"/>
  <c r="H215" i="12"/>
  <c r="G215" i="12"/>
  <c r="I214" i="12"/>
  <c r="I213" i="12"/>
  <c r="I212" i="12"/>
  <c r="I211" i="12"/>
  <c r="I210" i="12"/>
  <c r="H207" i="12"/>
  <c r="G207" i="12"/>
  <c r="I206" i="12"/>
  <c r="I205" i="12"/>
  <c r="I204" i="12"/>
  <c r="I203" i="12"/>
  <c r="I202" i="12"/>
  <c r="H199" i="12"/>
  <c r="G199" i="12"/>
  <c r="I198" i="12"/>
  <c r="I197" i="12"/>
  <c r="I196" i="12"/>
  <c r="I195" i="12"/>
  <c r="I194" i="12"/>
  <c r="H191" i="12"/>
  <c r="G191" i="12"/>
  <c r="D256" i="12" s="1"/>
  <c r="H188" i="12"/>
  <c r="G188" i="12"/>
  <c r="I187" i="12"/>
  <c r="I186" i="12"/>
  <c r="I185" i="12"/>
  <c r="I184" i="12"/>
  <c r="I183" i="12"/>
  <c r="H180" i="12"/>
  <c r="G180" i="12"/>
  <c r="I179" i="12"/>
  <c r="I178" i="12"/>
  <c r="I177" i="12"/>
  <c r="I176" i="12"/>
  <c r="I175" i="12"/>
  <c r="H172" i="12"/>
  <c r="G172" i="12"/>
  <c r="I171" i="12"/>
  <c r="I170" i="12"/>
  <c r="I169" i="12"/>
  <c r="I168" i="12"/>
  <c r="I167" i="12"/>
  <c r="H164" i="12"/>
  <c r="G164" i="12"/>
  <c r="I163" i="12"/>
  <c r="I162" i="12"/>
  <c r="I161" i="12"/>
  <c r="I160" i="12"/>
  <c r="I159" i="12"/>
  <c r="H156" i="12"/>
  <c r="H148" i="12" s="1"/>
  <c r="G156" i="12"/>
  <c r="I155" i="12"/>
  <c r="I154" i="12"/>
  <c r="I153" i="12"/>
  <c r="I152" i="12"/>
  <c r="I151" i="12"/>
  <c r="G148" i="12"/>
  <c r="D255" i="12" s="1"/>
  <c r="H145" i="12"/>
  <c r="G145" i="12"/>
  <c r="I144" i="12"/>
  <c r="I143" i="12"/>
  <c r="I142" i="12"/>
  <c r="I141" i="12"/>
  <c r="I140" i="12"/>
  <c r="H137" i="12"/>
  <c r="G137" i="12"/>
  <c r="I136" i="12"/>
  <c r="I135" i="12"/>
  <c r="I134" i="12"/>
  <c r="I133" i="12"/>
  <c r="I132" i="12"/>
  <c r="H129" i="12"/>
  <c r="G129" i="12"/>
  <c r="I128" i="12"/>
  <c r="I127" i="12"/>
  <c r="I126" i="12"/>
  <c r="I125" i="12"/>
  <c r="I124" i="12"/>
  <c r="H121" i="12"/>
  <c r="G121" i="12"/>
  <c r="I120" i="12"/>
  <c r="I119" i="12"/>
  <c r="I118" i="12"/>
  <c r="I117" i="12"/>
  <c r="I116" i="12"/>
  <c r="H113" i="12"/>
  <c r="G113" i="12"/>
  <c r="I112" i="12"/>
  <c r="I111" i="12"/>
  <c r="I110" i="12"/>
  <c r="I109" i="12"/>
  <c r="I108" i="12"/>
  <c r="H105" i="12"/>
  <c r="G105" i="12"/>
  <c r="I104" i="12"/>
  <c r="I103" i="12"/>
  <c r="I101" i="12"/>
  <c r="I100" i="12"/>
  <c r="H97" i="12"/>
  <c r="G97" i="12"/>
  <c r="I96" i="12"/>
  <c r="I95" i="12"/>
  <c r="I94" i="12"/>
  <c r="I93" i="12"/>
  <c r="I92" i="12"/>
  <c r="H89" i="12"/>
  <c r="H81" i="12" s="1"/>
  <c r="E268" i="12" s="1"/>
  <c r="I88" i="12"/>
  <c r="I87" i="12"/>
  <c r="I86" i="12"/>
  <c r="I85" i="12"/>
  <c r="I84" i="12"/>
  <c r="G81" i="12" l="1"/>
  <c r="D254" i="12" s="1"/>
  <c r="J241" i="12"/>
  <c r="K241" i="12" s="1"/>
  <c r="J240" i="12"/>
  <c r="K240" i="12" s="1"/>
  <c r="J239" i="12"/>
  <c r="K239" i="12" s="1"/>
  <c r="J238" i="12"/>
  <c r="K238" i="12" s="1"/>
  <c r="J237" i="12"/>
  <c r="J233" i="12"/>
  <c r="K233" i="12" s="1"/>
  <c r="J232" i="12"/>
  <c r="K232" i="12" s="1"/>
  <c r="J231" i="12"/>
  <c r="K231" i="12" s="1"/>
  <c r="J230" i="12"/>
  <c r="K230" i="12" s="1"/>
  <c r="J229" i="12"/>
  <c r="J144" i="12"/>
  <c r="K144" i="12" s="1"/>
  <c r="J143" i="12"/>
  <c r="K143" i="12" s="1"/>
  <c r="J142" i="12"/>
  <c r="K142" i="12" s="1"/>
  <c r="J141" i="12"/>
  <c r="K141" i="12" s="1"/>
  <c r="J140" i="12"/>
  <c r="J136" i="12"/>
  <c r="K136" i="12" s="1"/>
  <c r="J135" i="12"/>
  <c r="K135" i="12" s="1"/>
  <c r="J134" i="12"/>
  <c r="K134" i="12" s="1"/>
  <c r="J133" i="12"/>
  <c r="K133" i="12" s="1"/>
  <c r="J132" i="12"/>
  <c r="J128" i="12"/>
  <c r="K128" i="12" s="1"/>
  <c r="J127" i="12"/>
  <c r="K127" i="12" s="1"/>
  <c r="J126" i="12"/>
  <c r="K126" i="12" s="1"/>
  <c r="J125" i="12"/>
  <c r="K125" i="12" s="1"/>
  <c r="J124" i="12"/>
  <c r="J120" i="12"/>
  <c r="K120" i="12" s="1"/>
  <c r="J119" i="12"/>
  <c r="K119" i="12" s="1"/>
  <c r="J118" i="12"/>
  <c r="K118" i="12" s="1"/>
  <c r="J117" i="12"/>
  <c r="K117" i="12" s="1"/>
  <c r="J116" i="12"/>
  <c r="J112" i="12"/>
  <c r="K112" i="12" s="1"/>
  <c r="J111" i="12"/>
  <c r="K111" i="12" s="1"/>
  <c r="J110" i="12"/>
  <c r="K110" i="12" s="1"/>
  <c r="J109" i="12"/>
  <c r="K109" i="12" s="1"/>
  <c r="J108" i="12"/>
  <c r="J104" i="12"/>
  <c r="K104" i="12" s="1"/>
  <c r="J103" i="12"/>
  <c r="K103" i="12" s="1"/>
  <c r="J102" i="12"/>
  <c r="K102" i="12" s="1"/>
  <c r="J101" i="12"/>
  <c r="K101" i="12" s="1"/>
  <c r="J100" i="12"/>
  <c r="J96" i="12"/>
  <c r="K96" i="12" s="1"/>
  <c r="J95" i="12"/>
  <c r="K95" i="12" s="1"/>
  <c r="J94" i="12"/>
  <c r="K94" i="12" s="1"/>
  <c r="J93" i="12"/>
  <c r="K93" i="12" s="1"/>
  <c r="J92" i="12"/>
  <c r="J88" i="12"/>
  <c r="K88" i="12" s="1"/>
  <c r="J87" i="12"/>
  <c r="K87" i="12" s="1"/>
  <c r="J86" i="12"/>
  <c r="K86" i="12" s="1"/>
  <c r="J85" i="12"/>
  <c r="K85" i="12" s="1"/>
  <c r="J84" i="12"/>
  <c r="I81" i="12"/>
  <c r="A81" i="12" s="1"/>
  <c r="I89" i="12"/>
  <c r="I97" i="12"/>
  <c r="I105" i="12"/>
  <c r="I113" i="12"/>
  <c r="I121" i="12"/>
  <c r="I129" i="12"/>
  <c r="I137" i="12"/>
  <c r="I145" i="12"/>
  <c r="J187" i="12"/>
  <c r="K187" i="12" s="1"/>
  <c r="J186" i="12"/>
  <c r="K186" i="12" s="1"/>
  <c r="J185" i="12"/>
  <c r="K185" i="12" s="1"/>
  <c r="J184" i="12"/>
  <c r="K184" i="12" s="1"/>
  <c r="J183" i="12"/>
  <c r="J179" i="12"/>
  <c r="K179" i="12" s="1"/>
  <c r="J178" i="12"/>
  <c r="K178" i="12" s="1"/>
  <c r="J177" i="12"/>
  <c r="K177" i="12" s="1"/>
  <c r="J176" i="12"/>
  <c r="K176" i="12" s="1"/>
  <c r="J175" i="12"/>
  <c r="J171" i="12"/>
  <c r="K171" i="12" s="1"/>
  <c r="J170" i="12"/>
  <c r="K170" i="12" s="1"/>
  <c r="J169" i="12"/>
  <c r="K169" i="12" s="1"/>
  <c r="J168" i="12"/>
  <c r="K168" i="12" s="1"/>
  <c r="J167" i="12"/>
  <c r="J163" i="12"/>
  <c r="K163" i="12" s="1"/>
  <c r="J162" i="12"/>
  <c r="K162" i="12" s="1"/>
  <c r="J161" i="12"/>
  <c r="K161" i="12" s="1"/>
  <c r="J160" i="12"/>
  <c r="K160" i="12" s="1"/>
  <c r="J159" i="12"/>
  <c r="J155" i="12"/>
  <c r="K155" i="12" s="1"/>
  <c r="J154" i="12"/>
  <c r="K154" i="12" s="1"/>
  <c r="J153" i="12"/>
  <c r="K153" i="12" s="1"/>
  <c r="J152" i="12"/>
  <c r="K152" i="12" s="1"/>
  <c r="J151" i="12"/>
  <c r="I148" i="12"/>
  <c r="A148" i="12" s="1"/>
  <c r="I156" i="12"/>
  <c r="I164" i="12"/>
  <c r="I172" i="12"/>
  <c r="I180" i="12"/>
  <c r="I188" i="12"/>
  <c r="J222" i="12"/>
  <c r="K222" i="12" s="1"/>
  <c r="J221" i="12"/>
  <c r="K221" i="12" s="1"/>
  <c r="J220" i="12"/>
  <c r="K220" i="12" s="1"/>
  <c r="J219" i="12"/>
  <c r="K219" i="12" s="1"/>
  <c r="J218" i="12"/>
  <c r="J214" i="12"/>
  <c r="K214" i="12" s="1"/>
  <c r="J213" i="12"/>
  <c r="K213" i="12" s="1"/>
  <c r="J212" i="12"/>
  <c r="K212" i="12" s="1"/>
  <c r="J211" i="12"/>
  <c r="K211" i="12" s="1"/>
  <c r="J210" i="12"/>
  <c r="J206" i="12"/>
  <c r="K206" i="12" s="1"/>
  <c r="J205" i="12"/>
  <c r="K205" i="12" s="1"/>
  <c r="J204" i="12"/>
  <c r="K204" i="12" s="1"/>
  <c r="J203" i="12"/>
  <c r="K203" i="12" s="1"/>
  <c r="J202" i="12"/>
  <c r="J198" i="12"/>
  <c r="K198" i="12" s="1"/>
  <c r="J197" i="12"/>
  <c r="K197" i="12" s="1"/>
  <c r="J196" i="12"/>
  <c r="K196" i="12" s="1"/>
  <c r="J195" i="12"/>
  <c r="K195" i="12" s="1"/>
  <c r="J194" i="12"/>
  <c r="I191" i="12"/>
  <c r="A191" i="12" s="1"/>
  <c r="I199" i="12"/>
  <c r="I207" i="12"/>
  <c r="I215" i="12"/>
  <c r="I223" i="12"/>
  <c r="I226" i="12"/>
  <c r="A226" i="12" s="1"/>
  <c r="I234" i="12"/>
  <c r="I242" i="12"/>
  <c r="J199" i="12" l="1"/>
  <c r="K199" i="12" s="1"/>
  <c r="K194" i="12"/>
  <c r="J207" i="12"/>
  <c r="K207" i="12" s="1"/>
  <c r="K202" i="12"/>
  <c r="J215" i="12"/>
  <c r="K215" i="12" s="1"/>
  <c r="K210" i="12"/>
  <c r="J223" i="12"/>
  <c r="K223" i="12" s="1"/>
  <c r="K218" i="12"/>
  <c r="J156" i="12"/>
  <c r="K156" i="12" s="1"/>
  <c r="K151" i="12"/>
  <c r="J164" i="12"/>
  <c r="K164" i="12" s="1"/>
  <c r="K159" i="12"/>
  <c r="J172" i="12"/>
  <c r="K172" i="12" s="1"/>
  <c r="K167" i="12"/>
  <c r="J180" i="12"/>
  <c r="K180" i="12" s="1"/>
  <c r="K175" i="12"/>
  <c r="J188" i="12"/>
  <c r="K188" i="12" s="1"/>
  <c r="K183" i="12"/>
  <c r="J89" i="12"/>
  <c r="K89" i="12" s="1"/>
  <c r="K84" i="12"/>
  <c r="J97" i="12"/>
  <c r="K97" i="12" s="1"/>
  <c r="K92" i="12"/>
  <c r="J105" i="12"/>
  <c r="K105" i="12" s="1"/>
  <c r="K100" i="12"/>
  <c r="J113" i="12"/>
  <c r="K113" i="12" s="1"/>
  <c r="K108" i="12"/>
  <c r="J121" i="12"/>
  <c r="K121" i="12" s="1"/>
  <c r="K116" i="12"/>
  <c r="J129" i="12"/>
  <c r="K129" i="12" s="1"/>
  <c r="K124" i="12"/>
  <c r="J137" i="12"/>
  <c r="K137" i="12" s="1"/>
  <c r="K132" i="12"/>
  <c r="J145" i="12"/>
  <c r="K145" i="12" s="1"/>
  <c r="K140" i="12"/>
  <c r="J234" i="12"/>
  <c r="K234" i="12" s="1"/>
  <c r="K229" i="12"/>
  <c r="J242" i="12"/>
  <c r="K242" i="12" s="1"/>
  <c r="K237" i="12"/>
  <c r="D258" i="12"/>
  <c r="A268" i="12" s="1"/>
  <c r="G255" i="12" l="1"/>
  <c r="G256" i="12"/>
  <c r="G257" i="12"/>
  <c r="J226" i="12" s="1"/>
  <c r="K226" i="12" s="1"/>
  <c r="G254" i="12"/>
  <c r="J81" i="12" s="1"/>
  <c r="K81" i="12" s="1"/>
  <c r="H268" i="12"/>
  <c r="J191" i="12"/>
  <c r="K191" i="12" s="1"/>
  <c r="J148" i="12" l="1"/>
  <c r="K148" i="12" s="1"/>
  <c r="K268" i="12" s="1"/>
  <c r="G258" i="12"/>
  <c r="N268" i="12"/>
</calcChain>
</file>

<file path=xl/sharedStrings.xml><?xml version="1.0" encoding="utf-8"?>
<sst xmlns="http://schemas.openxmlformats.org/spreadsheetml/2006/main" count="1178" uniqueCount="380">
  <si>
    <t>CODIGO</t>
  </si>
  <si>
    <t>INSTITUTO NACIONAL DE VÍAS</t>
  </si>
  <si>
    <t>VERSIÓN</t>
  </si>
  <si>
    <t>MANUAL DE INTERVENTORÍA OBRA PÚBLICA</t>
  </si>
  <si>
    <t>EVALUACIÓN DE LA SOSTENIBILIDAD Y BALANCE FINAL EN CONTRATO DE OBRA</t>
  </si>
  <si>
    <t xml:space="preserve">PAGINA </t>
  </si>
  <si>
    <t>UNIDAD EJECUTORA</t>
  </si>
  <si>
    <t>DIRECCIÓN TERRITORIAL</t>
  </si>
  <si>
    <t xml:space="preserve">CONTRATO DE OBRA N° </t>
  </si>
  <si>
    <t xml:space="preserve">DEL </t>
  </si>
  <si>
    <r>
      <t xml:space="preserve">CONTRATO DE INTERVENTORÍA </t>
    </r>
    <r>
      <rPr>
        <sz val="10"/>
        <rFont val="Calibri"/>
        <family val="2"/>
        <scheme val="minor"/>
      </rPr>
      <t xml:space="preserve">N° </t>
    </r>
  </si>
  <si>
    <t>(Día)</t>
  </si>
  <si>
    <t>(Mes)</t>
  </si>
  <si>
    <t>(Año)</t>
  </si>
  <si>
    <t>EVALUACIÓN PARCIAL N°</t>
  </si>
  <si>
    <t>DEL</t>
  </si>
  <si>
    <t xml:space="preserve">AL </t>
  </si>
  <si>
    <t>BALANCE FINAL N°</t>
  </si>
  <si>
    <t xml:space="preserve">OBJETO DEL PROYECTO </t>
  </si>
  <si>
    <t xml:space="preserve">TIPO DE PROYECTO </t>
  </si>
  <si>
    <t>LICENCIADO</t>
  </si>
  <si>
    <t xml:space="preserve">Resolución N° </t>
  </si>
  <si>
    <t xml:space="preserve">NO LICENCIADO - PAGA </t>
  </si>
  <si>
    <t xml:space="preserve">1. DATOS GENERALES </t>
  </si>
  <si>
    <t>1.1 CONTRATISTA</t>
  </si>
  <si>
    <t>1.2. INTERVENTORIA</t>
  </si>
  <si>
    <t>1.3 INVIAS</t>
  </si>
  <si>
    <t xml:space="preserve">NIT </t>
  </si>
  <si>
    <t>NOMBRE INTERVENTORIA</t>
  </si>
  <si>
    <t>GESTORES SOSTENIBILIDAD</t>
  </si>
  <si>
    <t xml:space="preserve">NOMBRE CONTRATISTA </t>
  </si>
  <si>
    <t>NOMBRE DEL REPRESENTANTE LEGAL</t>
  </si>
  <si>
    <t>NOMBRES</t>
  </si>
  <si>
    <t>CEDULA</t>
  </si>
  <si>
    <t>CORREOS ELECTRONICOS</t>
  </si>
  <si>
    <t>NOMBRE DEL DIRECTOR DE OBRA</t>
  </si>
  <si>
    <t>TELEFONOS</t>
  </si>
  <si>
    <t>GESTOR SOCIAL</t>
  </si>
  <si>
    <t>CONTRATO N°</t>
  </si>
  <si>
    <t>NOMBRE</t>
  </si>
  <si>
    <t>OBJETO DEL CONTRATO</t>
  </si>
  <si>
    <t>CORREO ELECTRONICO</t>
  </si>
  <si>
    <t xml:space="preserve">FECHA DE INICIO </t>
  </si>
  <si>
    <t>TELEFONO</t>
  </si>
  <si>
    <t xml:space="preserve">FECHA TERMINACIÓN </t>
  </si>
  <si>
    <t>GESTOR AMBIENTAL</t>
  </si>
  <si>
    <t>VALOR DEL CONTRATO</t>
  </si>
  <si>
    <t>RECURSOS SOSTENIBILIDAD ASIGNADOS</t>
  </si>
  <si>
    <t>DIRECCIÓN DE LA EMPRESA</t>
  </si>
  <si>
    <t>CELULAR</t>
  </si>
  <si>
    <t>GESTOR TÉCNICO</t>
  </si>
  <si>
    <t xml:space="preserve">2. PERSONAL SOSTENIBILIDAD </t>
  </si>
  <si>
    <t xml:space="preserve">2.1 ESPECIALISTA EN SOSTENIBILIDAD </t>
  </si>
  <si>
    <t>CARGO</t>
  </si>
  <si>
    <t>N° CEDULA</t>
  </si>
  <si>
    <t>PROFESIÓN</t>
  </si>
  <si>
    <t>N° TARJETA PROFESIONAL</t>
  </si>
  <si>
    <t>POSGRADO</t>
  </si>
  <si>
    <t xml:space="preserve">TITULO </t>
  </si>
  <si>
    <t>% DE DEDICACION</t>
  </si>
  <si>
    <t xml:space="preserve">2.2. PROFESIONALES DE APOYO A LA SOSTENIBILIDAD </t>
  </si>
  <si>
    <t xml:space="preserve">3. INFORMACIÓN PRESUPUESTAL </t>
  </si>
  <si>
    <t>Valor inicial  de obra</t>
  </si>
  <si>
    <t>Valor adicional de obra N°</t>
  </si>
  <si>
    <t xml:space="preserve">Valor total de la obra </t>
  </si>
  <si>
    <t>Valor  Provisión Sostenibilidad</t>
  </si>
  <si>
    <t>Valor Provisión Adicional 1 Sostenibilidad</t>
  </si>
  <si>
    <t>Valor Provisión Adicional 2 Sostenibilidad</t>
  </si>
  <si>
    <t>Valor Total Provisión Sostenibilidad</t>
  </si>
  <si>
    <t>Valor Total Provisión Sostenibilidad Pagado</t>
  </si>
  <si>
    <t>4. UBICACIÓN DEL PROYECTO</t>
  </si>
  <si>
    <t>DEPARTAMENTO</t>
  </si>
  <si>
    <t>MUNICIPIO</t>
  </si>
  <si>
    <t>GEORREFERENCIACIÓN</t>
  </si>
  <si>
    <t>PR</t>
  </si>
  <si>
    <t xml:space="preserve">NOMBRE DE LA VIA </t>
  </si>
  <si>
    <t>NOMBRE DEL TRAMO</t>
  </si>
  <si>
    <t>CLASIFICACION DEL PROYECTO DE ACUERDO AL OT</t>
  </si>
  <si>
    <t xml:space="preserve">PORCENTAJE </t>
  </si>
  <si>
    <t>Coordenada inicial - Coordenada Final</t>
  </si>
  <si>
    <t>PR inicial - PR final</t>
  </si>
  <si>
    <t>PROYECTO SUELO URBANO</t>
  </si>
  <si>
    <t>PROYECTO SUELO SUBURBANO</t>
  </si>
  <si>
    <t>PROYECTO SUELO RURAL</t>
  </si>
  <si>
    <t>5. DESCRIPCION GENERAL DEL PROYECTO</t>
  </si>
  <si>
    <t xml:space="preserve">CARRETERO </t>
  </si>
  <si>
    <t>MARITIMO Y FLUVIAL</t>
  </si>
  <si>
    <t>FERREO</t>
  </si>
  <si>
    <t xml:space="preserve">Observaciones </t>
  </si>
  <si>
    <t xml:space="preserve">Funcionalidad </t>
  </si>
  <si>
    <t>Categorización</t>
  </si>
  <si>
    <t>6. EVALUACIÓN DE SOSTENIBILIDAD DEL PROYECTO</t>
  </si>
  <si>
    <t>6.1 COMPONENTES DE LA DIMENSIÓN TÉCNICA</t>
  </si>
  <si>
    <t>CLASIFICACIÓN DIMENSIÓN TÉCNICA (Respecto al Puntaje Relativo)</t>
  </si>
  <si>
    <t>PUNTAJE MÁXIMO</t>
  </si>
  <si>
    <t>PUNTAJE OBTENIDO PARA LA DIMENSIÓN</t>
  </si>
  <si>
    <t>PUNTAJE RELATIVO (%)</t>
  </si>
  <si>
    <t>PONDERACIÓN MAXIMA DE LA DIMENSIÓN (%)</t>
  </si>
  <si>
    <t>PODERACIÓN OBTENIDA DENTRO DE LA DIMENSIÓN (%)</t>
  </si>
  <si>
    <t>JUSTIFICACIÓN PUNTAJE MAXIMO (contratista)</t>
  </si>
  <si>
    <t>CONCEPTO DE INTERVENTORIA (Justificación)</t>
  </si>
  <si>
    <t>6.1.1.EMPLAZAMIENTO</t>
  </si>
  <si>
    <t>No.</t>
  </si>
  <si>
    <t>CRITERIO</t>
  </si>
  <si>
    <t>INDICADORES</t>
  </si>
  <si>
    <t>META</t>
  </si>
  <si>
    <t>PUNTAJE DISPONIBLE</t>
  </si>
  <si>
    <t>PUNTAJE OBTENIDO EN EL COMPONENTE</t>
  </si>
  <si>
    <t>PONDERACIÓN MAXIMA DEL COMPONENTE (%)</t>
  </si>
  <si>
    <t>PODERACIÓN OBTENIDA DEL COMPONENTE (%)</t>
  </si>
  <si>
    <t>JUSTIFICACIÓN PUNTAJE DISPONIBLE (contratista)</t>
  </si>
  <si>
    <t>TOTAL</t>
  </si>
  <si>
    <t>6.1.2.INNOVACIÓN</t>
  </si>
  <si>
    <t>6.1.3.MATERIALES</t>
  </si>
  <si>
    <t>3.5</t>
  </si>
  <si>
    <t>USO DE MATERIALES DE LA REGIÓN</t>
  </si>
  <si>
    <t>6.1.4.ACCESIBILIDAD Y SEGURIDAD</t>
  </si>
  <si>
    <t>6.1.5.GESTIÓN DEL RIESGO</t>
  </si>
  <si>
    <t>6.1.6.ENERGIA</t>
  </si>
  <si>
    <t>6.1.7.INFRAESTRUCTURA VERDE</t>
  </si>
  <si>
    <t>6.1.8.USOS ALTERNATIVOS SOSTENIBLES PARA CORREDORES FÉRREOS</t>
  </si>
  <si>
    <t>6.2.  COMPONENTES DE LA DIMENSIÓN AMBIENTAL</t>
  </si>
  <si>
    <t>CLASIFICACIÓN DIMENSIÓN AMBIENTAL (respecto al Puntaje Relativo)</t>
  </si>
  <si>
    <t xml:space="preserve">6.2.1. AGUA </t>
  </si>
  <si>
    <t>1.1</t>
  </si>
  <si>
    <t xml:space="preserve">CONSERVACIÓN DE LOS CUERPOS HÍDRICOS NATURALES A TRAVÉS DE ACCIONES QUE EVITEN LA CAPTACIÓN DEL RECURSO </t>
  </si>
  <si>
    <t>6.2.2. BIODIVERSIDAD</t>
  </si>
  <si>
    <t>6.2.3. GESTIÓN DEL RIESGO</t>
  </si>
  <si>
    <t>6.2.4. CICLO DE VIDA</t>
  </si>
  <si>
    <t>6.2.5. CERTIFICACIONES AMBIENTALES</t>
  </si>
  <si>
    <t>6.3.  COMPONENTES DE LA DIMENSIÓN SOCIAL</t>
  </si>
  <si>
    <t>CLASIFICACIÓN DIMENSIÓN SOCIAL(respecto al Puntaje Relativo)</t>
  </si>
  <si>
    <t>6.3.1.  PARTICIPACION E INCLUSIÓN SOCIAL</t>
  </si>
  <si>
    <t>1.17</t>
  </si>
  <si>
    <t>INCLUSIÓN SOCIAL</t>
  </si>
  <si>
    <t>6.3.2.  GESTIÓN PREDIAL Y REASENTAMIENTO</t>
  </si>
  <si>
    <t>6.3.3.  PRESERVACIÓN DEL PATRIMONIO Y SITIOS DE INTERÉS</t>
  </si>
  <si>
    <t>6.3.4. DESARROLLO LOCAL</t>
  </si>
  <si>
    <t>6.4.  COMPONENTES DE LA DIMENSIÓN ECONÓMICA Y FINANCIERA</t>
  </si>
  <si>
    <t>CLASIFICACIÓN DIMENSIÓN  ECONOMICA Y FINANCIERA (respecto al Puntaje Relativo)</t>
  </si>
  <si>
    <t>6.4.1.  DESEMPEÑO FINANCIERO</t>
  </si>
  <si>
    <t>6.4.2.   DESEMPEÑO ECONÓMICO</t>
  </si>
  <si>
    <t>4.3</t>
  </si>
  <si>
    <t>VALOR ECONOMICO - SOCIAL EN EL CICLO DE VIDA DEL PROYECTO</t>
  </si>
  <si>
    <t>7. SISTEMA DE CALIFICACIÓN, PUNTAJE Y PONDERACIÓN DEL PROYECTO</t>
  </si>
  <si>
    <t>RANGO</t>
  </si>
  <si>
    <t>CALIFICACIÓN</t>
  </si>
  <si>
    <t>JUSTIFICACIÓN</t>
  </si>
  <si>
    <t>DIMENSIÓN</t>
  </si>
  <si>
    <t>PONDERACIÓN MÁXIMA (%)</t>
  </si>
  <si>
    <t>TÉCNICO</t>
  </si>
  <si>
    <t>AMBIENTAL</t>
  </si>
  <si>
    <t>SOCIAL</t>
  </si>
  <si>
    <t>ECONÓMICO-FINANCIERO</t>
  </si>
  <si>
    <t>8. EVALUACIÓN Y BALANCE FINAL DE LA SOSTENIBILIDAD EN EL PROYECTOS DE OBRA</t>
  </si>
  <si>
    <t>EVALUACIÓN DEL PERIODO</t>
  </si>
  <si>
    <t>BALANCE FINAL</t>
  </si>
  <si>
    <t>PUNTAJE MÁXIMO A OBTENER POR EL PROYECTO</t>
  </si>
  <si>
    <t>PUNTAJE OBTENIDO POR EL PROYECTO</t>
  </si>
  <si>
    <t>PUNTAJE RELATIVO DEL PROYECTO(%)</t>
  </si>
  <si>
    <t>PODERACIÓN OBTENIDA DENTRO DEL PROYECTO (%)</t>
  </si>
  <si>
    <t xml:space="preserve">CALIFICACIÓN FINAL DE SOSTENIBILIDAD DEL PROYECTO </t>
  </si>
  <si>
    <t>8.1 CONCEPTO DE LA INTERVENTORÍA</t>
  </si>
  <si>
    <t>NOTAS:</t>
  </si>
  <si>
    <t xml:space="preserve">1. Es responsabilidad del Interventor y el Contratista dar cumplimiento de lo establecido en la Resolución 405 del 13 de febrero del 2020 por lo cual se adoptó la Política de Sostenibilidad para la Infraestructura de Transporte del Instituto Nacional de Vías- Invias así como lo indicado en el apéndice de Sostenibilidad. </t>
  </si>
  <si>
    <t>2. El contratista deberá escoger, justificar y presentar a la interventoría para aprobación, la metodología para la evaluación a la implementación de la sostenibilidad.</t>
  </si>
  <si>
    <t>3. Es responsabilidad del contratista diligenciar el presente formato, para su posterior envío a la interventoría, quien se encargara de su revisión, aprobación  y envío al grupo de Sostenibilidad de la Subdirección de Sostenibilidad, según lo establecido contractualmente.</t>
  </si>
  <si>
    <t>4. El interventor y el contratista asumen plena responsabilidad por la veracidad de la información y de los datos registrados en el presente formato y la congruencia del mismo .</t>
  </si>
  <si>
    <t>5. El Interventor y el Contratista podrán adicionar filas en el numeral 2, de acuerdo al numero de especialistas y profesionales con los que cuente el proyecto para la implemetación de la sostenibilidad</t>
  </si>
  <si>
    <t>FIRMA</t>
  </si>
  <si>
    <t>Nombre:</t>
  </si>
  <si>
    <t>Director de Obra</t>
  </si>
  <si>
    <t>Director de Interventoría</t>
  </si>
  <si>
    <t>Matrícula No.:</t>
  </si>
  <si>
    <t>Especialista Sostenibilidad Contratista</t>
  </si>
  <si>
    <t>Especialista sostenibilidad Interventoría</t>
  </si>
  <si>
    <t>Dirección Territorial Antioquia</t>
  </si>
  <si>
    <t>Proyecto en suelo urbano</t>
  </si>
  <si>
    <t>Dirección Territorial Atlántico</t>
  </si>
  <si>
    <t>Proyecto en suelo expansión urbano</t>
  </si>
  <si>
    <t>Dirección Territorial Bolívar</t>
  </si>
  <si>
    <t>Proyecto en suelo rural</t>
  </si>
  <si>
    <t>Dirección Territorial Boyacá</t>
  </si>
  <si>
    <t>Dirección Territorial Caldas</t>
  </si>
  <si>
    <t>Dirección Territorial Caquetá</t>
  </si>
  <si>
    <t xml:space="preserve">Primaria </t>
  </si>
  <si>
    <t>Dirección Territorial Casanare</t>
  </si>
  <si>
    <t>Secundaria</t>
  </si>
  <si>
    <t>Dirección Territorial Cauca</t>
  </si>
  <si>
    <t xml:space="preserve">Terciaria </t>
  </si>
  <si>
    <t>Dirección Territorial Cesar</t>
  </si>
  <si>
    <t>Dirección Territorial Chocó</t>
  </si>
  <si>
    <t>Dirección Territorial Córdoba</t>
  </si>
  <si>
    <t>Nuevo</t>
  </si>
  <si>
    <t>Dirección Territorial Cundinamarca</t>
  </si>
  <si>
    <t>Rehabilitación</t>
  </si>
  <si>
    <t>Dirección Territorial Guajira</t>
  </si>
  <si>
    <t>Mejoramiento</t>
  </si>
  <si>
    <t>Dirección Territorial Huila</t>
  </si>
  <si>
    <t>Mantenimiento</t>
  </si>
  <si>
    <t>Dirección Territorial Magdalena</t>
  </si>
  <si>
    <t>Pavimentación</t>
  </si>
  <si>
    <t>Dirección Territorial Meta</t>
  </si>
  <si>
    <t>Dirección Territorial Nariño</t>
  </si>
  <si>
    <t>Dirección Territorial Norte de Santander</t>
  </si>
  <si>
    <t>Muelle</t>
  </si>
  <si>
    <t>Dirección Territorial Ocaña</t>
  </si>
  <si>
    <t>Puerto</t>
  </si>
  <si>
    <t>Dirección Territorial Putumayo</t>
  </si>
  <si>
    <t>Contrucción de malecón</t>
  </si>
  <si>
    <t>Dirección Territorial Quindío</t>
  </si>
  <si>
    <t>Dirección Territorial Risaralda</t>
  </si>
  <si>
    <t>Dirección Territorial Santander</t>
  </si>
  <si>
    <t>Dirección Territorial Sucre</t>
  </si>
  <si>
    <t>Dirección Territorial Tolima</t>
  </si>
  <si>
    <t>Dirección Territorial Valle</t>
  </si>
  <si>
    <t>Dirección Operativa</t>
  </si>
  <si>
    <t>Dirección Técnica</t>
  </si>
  <si>
    <t>Grupo Grandes Proyectos</t>
  </si>
  <si>
    <t>Grupo Peajes y Valorización</t>
  </si>
  <si>
    <t>Grupo Túnel de la Línea</t>
  </si>
  <si>
    <t>Subdirección de Estudios e Innovación</t>
  </si>
  <si>
    <t>Subdirección de Medio Ambiente y Gestión Social</t>
  </si>
  <si>
    <t>Subdirección de Prevención y Atención de Emergencias</t>
  </si>
  <si>
    <t>Restauración del corredor</t>
  </si>
  <si>
    <t>Subdirección Maritima y fluvial</t>
  </si>
  <si>
    <t>Señalización</t>
  </si>
  <si>
    <t>Subdirección Red Nacional de Carreteras</t>
  </si>
  <si>
    <t>Subdirección Red Terciaria y Férrea</t>
  </si>
  <si>
    <t>TIPO DE PROYECTO</t>
  </si>
  <si>
    <t>Licenciado</t>
  </si>
  <si>
    <t>No licenciado</t>
  </si>
  <si>
    <t>DÍA</t>
  </si>
  <si>
    <t>MES</t>
  </si>
  <si>
    <t>Enero</t>
  </si>
  <si>
    <t>Febrero</t>
  </si>
  <si>
    <t>Marzo</t>
  </si>
  <si>
    <t>Abril</t>
  </si>
  <si>
    <t>Mayo</t>
  </si>
  <si>
    <t>Junio</t>
  </si>
  <si>
    <t>Julio</t>
  </si>
  <si>
    <t>Agosto</t>
  </si>
  <si>
    <t>Septiembre</t>
  </si>
  <si>
    <t>Octubre</t>
  </si>
  <si>
    <t>Noviembre</t>
  </si>
  <si>
    <t>Diciembre</t>
  </si>
  <si>
    <t>AÑO</t>
  </si>
  <si>
    <t>INFORME</t>
  </si>
  <si>
    <t>ID</t>
  </si>
  <si>
    <t>ID CRITERIO</t>
  </si>
  <si>
    <t>NOMBRE DEL CRITERIO</t>
  </si>
  <si>
    <t>TIPO DE CRITERIO</t>
  </si>
  <si>
    <t>PESO EXPERTOS</t>
  </si>
  <si>
    <t>BASICO</t>
  </si>
  <si>
    <t>BUENO</t>
  </si>
  <si>
    <t>MUY BUENO</t>
  </si>
  <si>
    <t xml:space="preserve">EXCELENTE </t>
  </si>
  <si>
    <t>EXCEPCIONAL</t>
  </si>
  <si>
    <t>A</t>
  </si>
  <si>
    <t>1.2</t>
  </si>
  <si>
    <t>CONSIDERACIÓN DE SISTEMAS DE PURIFICACIÓN MECÁNICA Y NATURALES PARA MANTENER LA CALIDAD DEL AGUA EN CAMPAMENTOS Y OBRA</t>
  </si>
  <si>
    <t>B</t>
  </si>
  <si>
    <t>1.3</t>
  </si>
  <si>
    <t>DEVOLUCIÓN DEL RECURSO HÍDRICO EN IGUALES O MEJORES CONDICIONES A LAS DE LA FUENTE FINAL DE DISPOSICIÓN</t>
  </si>
  <si>
    <t>1.4</t>
  </si>
  <si>
    <t>ESTABLECE ESTRATEGIAS PARA EL USO Y MANEJO DE LAS AGUAS PLUVIALES, Y EL USO DE RECURSOS HIDRÍCOS ALTERNATIVOS EN EL CICLO DE VIDA DEL PROYECTO</t>
  </si>
  <si>
    <t>1.5</t>
  </si>
  <si>
    <t xml:space="preserve">MEJORES PRACTICAS CONSTRUCTIVAS QUE EVITEN LA CONTAMINACIÓN DE LAS AGUAS SUPERFICIALES Y LAS SUBTERRANEAS </t>
  </si>
  <si>
    <t>1.6</t>
  </si>
  <si>
    <t>CONSERVA EL CAPITAL NATURAL Y ÁREAS DE ALTO VALOR ECOLÓGICO A TRAVEZ DE UN TRAZADO E INFRAESTRUCTURA ASOCIADA SOSTENIBLE, PRESERVANDO LA BIODIVERSIDAD DE LAS ÁREAS SENSIBLES PRESENTES EN LA ZONA DE ESTUDIO</t>
  </si>
  <si>
    <t>1.7</t>
  </si>
  <si>
    <t>EL PROYECTO FAVORECE A LA CONECTIVIDAD ECOLÓGICA Y SUS SERVICIOS AMBIENTALES ATRAVÉS DE LA CONSERVACIÓN DE LAS ÁREAS CON COBERTURAS NATURALES Y SEMINATURALES PRESENTES EN LA ZONA DE ESTUDIO</t>
  </si>
  <si>
    <t>1.8</t>
  </si>
  <si>
    <t>INICIATIVAS INSTITUCIONALES EN INFRAESTRUCTURA VERDE RELACIONADA CON ESTUDIOS EN CONECTIVIDAD PARA LA CREACIÓN DE REDES DE ECOSISTEMAS CON CORREDORES ECOLÓGICOS ASOCIADOS AL PROYECTO</t>
  </si>
  <si>
    <t>1.9</t>
  </si>
  <si>
    <t>LAS ALTERNATIVAS DE COMPENSACIÓN O INVERSIÓN FORZOSA DE NO MENOS DEL 1% QUE PROMUEVE EL PROYECTO ESTAN ENCAMINADAS A ESQUEMASDE PAGO POR DESEMPEÑO, ACUERDOS A LA CONSERVACIÓN, BANCOS DE HÁBITAT O PAGO POR SERVICIOS AMBIENTALES, ENTRE OTROS MECANISMOS</t>
  </si>
  <si>
    <t>1.10</t>
  </si>
  <si>
    <t xml:space="preserve">AUMENTO EN LA TEMPORALIDAD DEL SEGUIMIENTO EN LA VIDA ÚTIL DEL PROYECTO - RESILIENCIA Y ADECUADA GESTIÓN DEL RIESGO. </t>
  </si>
  <si>
    <t>1.11</t>
  </si>
  <si>
    <t xml:space="preserve">INICIATIVA DE ESTUDIO DE INDICADORES DE CICLO DE VIDA EN LA ETAPA DE CONTRUCCIÓN Y OPERACIÓN DEL PROYECTO DEL PROYECTO - BALANCE DE MATERIA Y DE ENERGÍA </t>
  </si>
  <si>
    <t>1.12</t>
  </si>
  <si>
    <t>IDENTIFICACIÓN DE ALTERNATIVAS ENERGÉTICAS EN LA ZONA DE ESTUDIO DEL PROYECTO</t>
  </si>
  <si>
    <t>1.13</t>
  </si>
  <si>
    <t xml:space="preserve">REDUCE LAS EMISIONES CON LA IMPLEMENTACIÓN DE EQUIPOS Y NUEVAS TÉCNOLOGÍAS SOSTENBILES </t>
  </si>
  <si>
    <t>1.14</t>
  </si>
  <si>
    <t xml:space="preserve">REDUCE LA GENERACIÓN DE RESIDUOS SOLIDOS PELIGROSOS Y MÉTODO DE DISPOSICIÓN FINAL </t>
  </si>
  <si>
    <t>1.15</t>
  </si>
  <si>
    <t>MANEJO Y DISPOSICIÓN DE RESIDUOS ORGÁNICOS EN OBRA</t>
  </si>
  <si>
    <t>1.16</t>
  </si>
  <si>
    <t>ADQUISICIÓN DE CERTIFICACIONES Y SELLOS VERDES EN LA PARTE OPERATIVA Y ADMINISTRATIVA DEL PROYECTO</t>
  </si>
  <si>
    <t>RESPONSABILIDAD SOCIAL</t>
  </si>
  <si>
    <t>2.1</t>
  </si>
  <si>
    <t>2.2</t>
  </si>
  <si>
    <t>PARTICIPACIÓN</t>
  </si>
  <si>
    <t>2.3</t>
  </si>
  <si>
    <t>GESTIÓN PREDIAL Y REASENTAMIENTO</t>
  </si>
  <si>
    <t>2.4</t>
  </si>
  <si>
    <t>MANEJO DE LA INFRAESTRUCTURA DE PREDIOS Y DE SERVICIO PÚBLICO</t>
  </si>
  <si>
    <t>2.5</t>
  </si>
  <si>
    <t>CONSULTA PREVIA</t>
  </si>
  <si>
    <t>2.6</t>
  </si>
  <si>
    <t>PRESERVACIÓN HISTÓRICA, ARQUEOLÓGICA Y CULTURAL</t>
  </si>
  <si>
    <t>2.7</t>
  </si>
  <si>
    <t>DESARROLLO LOCAL</t>
  </si>
  <si>
    <t>2.8</t>
  </si>
  <si>
    <t xml:space="preserve">DESARROLLO DE COMPETENCIAS CIUDADANAS </t>
  </si>
  <si>
    <t>3.1</t>
  </si>
  <si>
    <t>DISEÑO E IMPLMENTACIÓN DE TRAZADOS E INFRAESTRUCTURA ASOCIADA SOSTENIBLE A TRAVÉS LA GENERACIÓN DE UN IMPACTO POSITIVO EN EL USO ACTUAL DEL SUELO ASOCIADO AL PROYECTO</t>
  </si>
  <si>
    <t>3.2</t>
  </si>
  <si>
    <t xml:space="preserve">GENERACIÓN E IMPLEMENTACIÓN DE INVESTIGACIÓN DESARROLLO E INNOVACIÓN </t>
  </si>
  <si>
    <t>3.3</t>
  </si>
  <si>
    <t xml:space="preserve">NUEVAS TÉCNOLOGÍAS PARA MONITORIREO Y SEGUIMIENTO DE LA SEGURIDAD VIAL </t>
  </si>
  <si>
    <t>3.4</t>
  </si>
  <si>
    <t>USO DE MATERIALES RECICLADOS EN LA PARTE OPERATIVA Y ADMINISTRATIVA DEL PROYECTO</t>
  </si>
  <si>
    <t>3.6</t>
  </si>
  <si>
    <t xml:space="preserve">USO DE MATERIALES DE BAJO IMPACTO GARANTIZANDO SU EFECTIVIDAD </t>
  </si>
  <si>
    <t>3.7</t>
  </si>
  <si>
    <t>USO DE PAVIMENTO DE LARGA VIDA O PAVIMENTOS DE LARGA DURACIÓN PLD</t>
  </si>
  <si>
    <t>3.8</t>
  </si>
  <si>
    <t>ALTERNATIVAS DE REUTILIZACIÓN Y/O DISPOSICIÓN SOSTENIBLE DE RESIDUOS PROVENIENTE DE ZODMES</t>
  </si>
  <si>
    <t>3.9</t>
  </si>
  <si>
    <t>MOVILIDAD ACTIVA</t>
  </si>
  <si>
    <t>3.10</t>
  </si>
  <si>
    <t>CONECTIVIDAD Y ACCESIBILIDAD</t>
  </si>
  <si>
    <t>3.11</t>
  </si>
  <si>
    <t xml:space="preserve">PLANIFICACIÓN Y DISEÑO DE INFRAESTRUCTURA VIAL RESILIENTE </t>
  </si>
  <si>
    <t>3.12</t>
  </si>
  <si>
    <t xml:space="preserve">ACCIONES PREVENTIVAS ENCAMINADAS A LA CONSERVACIÓN SUELOS Y RECUPERACIÓN DE TALUDES </t>
  </si>
  <si>
    <t>3.13</t>
  </si>
  <si>
    <t>DISEÑA ESTRATEGIAS Y ACTIVIDADES QUE REDUZCAN LA ENERGÍA NETA INCORPORADA EN LOS PROCESOS DE CONSTRUCCIÓN Y OPERACIÓN</t>
  </si>
  <si>
    <t>3.14</t>
  </si>
  <si>
    <t>REDUCE LOS REQUERIMIENTOS ENERGÉTICOS DE LA MAQUINARIA Y EQUIPOS UTILIZADOS EN LA CONSTRUCCIÓN Y OPERACIÓN DEL PROYECTO</t>
  </si>
  <si>
    <t>3.15</t>
  </si>
  <si>
    <t>DISEÑA E IMPLEMENTA UN SISTEMA DE SUPERVISIÓN Y GESTIÓN PARA REDUCCIÓN DEL CONSUMO ENERGÉTICO</t>
  </si>
  <si>
    <t>3.16</t>
  </si>
  <si>
    <t>USO DE FUENTES DE ENERGÍA RENOVABLES</t>
  </si>
  <si>
    <t>3.17</t>
  </si>
  <si>
    <t>INCORPORACIÓN DE VEHÍCULOS SOSTENIBLES PARA LA REDUCCIÓN DE EMISIONES (HÍBRIDOS)</t>
  </si>
  <si>
    <t>3.18</t>
  </si>
  <si>
    <t>OPTIMIZA EL TRASLADO DE LOS MATERIALES DE EXCAVACIÓN</t>
  </si>
  <si>
    <t>3.19</t>
  </si>
  <si>
    <t>IMPLEMENTACIÓN DE ESPACIOS VERDES ASOCIADAS AL PROYECTO QUE CONTRIBUYA A MEJORAS PAISAJÍSTICAS Y DEL MICROCLIMA.</t>
  </si>
  <si>
    <t>3.20</t>
  </si>
  <si>
    <t>IMPLEMENTACIÓN DE INICIATIVAS INSTITUCIONALES EN INFRAESTRUCTURA VERDE RELACIONADA CON ESTUDIOS EN CONECTIVIDAD PARA LA CREACIÓN DE REDES DE ECOSISTEMAS CON CORREDORES ECOLÓGICOS ASOCIADOS AL PROYECTO.</t>
  </si>
  <si>
    <t>4.1</t>
  </si>
  <si>
    <t>ANÁLISIS FINANCIERO SUJETO AL CAMBIO CLIMATICO</t>
  </si>
  <si>
    <t>4.2</t>
  </si>
  <si>
    <t>ASISTENCIA FINANCIERA RECIBIDA POR PARTE DEL GOBIERNO Y/O ENTES INTERNACIONALES</t>
  </si>
  <si>
    <t>4.4</t>
  </si>
  <si>
    <t>VALOR ECONOMICO - AMBIENTAL EN EL CICLO DE VIDA DEL PROYECTO</t>
  </si>
  <si>
    <t>4.5</t>
  </si>
  <si>
    <t>LICITACIONES Y ADQUISICIONES SOSTENIBLES Y/O PRÁCTICAS DE COMPRAS VERDES</t>
  </si>
  <si>
    <t>PUNTUACIÓN MAXIMA DIMENSIÓN AMBIENTAL</t>
  </si>
  <si>
    <t>16 criterios</t>
  </si>
  <si>
    <t>PUNTUACIÓN MAXIMA DIMENSIÓN SOCIAL</t>
  </si>
  <si>
    <t>8 criterios</t>
  </si>
  <si>
    <t>PUNTUACIÓN MAXIMA DIMENSIÓN TÉCNICA</t>
  </si>
  <si>
    <t>20 criterios</t>
  </si>
  <si>
    <t>PUNTUACIÓN MAXIMA DIMENSIÓN ECONÓMICA - FINACIERA</t>
  </si>
  <si>
    <t>5 criterios</t>
  </si>
  <si>
    <t>SOSTENIBILIDAD</t>
  </si>
  <si>
    <t>RANGOS (%)</t>
  </si>
  <si>
    <t>GRADO 4</t>
  </si>
  <si>
    <t>&gt;80 - 100</t>
  </si>
  <si>
    <t>GRADO 3</t>
  </si>
  <si>
    <t>&gt;55 - 80</t>
  </si>
  <si>
    <t>GRADO 2</t>
  </si>
  <si>
    <t>&gt;30 - 55</t>
  </si>
  <si>
    <t>GRADO 1</t>
  </si>
  <si>
    <t>10-30</t>
  </si>
  <si>
    <t>BASICA</t>
  </si>
  <si>
    <t>&lt;10</t>
  </si>
  <si>
    <t>URBANO</t>
  </si>
  <si>
    <t>RURAL</t>
  </si>
  <si>
    <t>SUBURBANO</t>
  </si>
  <si>
    <t>3.21</t>
  </si>
  <si>
    <t>UTILIZACIÓN DE LAS VIAS FERREAS COMO ALTERNATIVAS DE USO (VIAS VERDES).</t>
  </si>
  <si>
    <t>(en blanco)</t>
  </si>
  <si>
    <t>PROCESO MISIONAL GESTIÓN AMBIENTAL, SOCIAL, PREDIAL Y DE SOSTENIBILIDAD DE PROYECTOS</t>
  </si>
  <si>
    <t>MASPS-MN-IN1-6-FR-2</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</si>
</sst>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2"/>
      <color theme="1"/>
      <name val="Calibri"/>
      <family val="2"/>
      <scheme val="minor"/>
    </font>
    <font>
      <sz val="12"/>
      <color theme="1"/>
      <name val="Calibri"/>
      <family val="2"/>
      <scheme val="minor"/>
    </font>
    <font>
      <sz val="10"/>
      <name val="Calibri"/>
      <family val="2"/>
      <scheme val="minor"/>
    </font>
    <font>
      <b/>
      <sz val="10"/>
      <name val="Calibri"/>
      <family val="2"/>
      <scheme val="minor"/>
    </font>
    <font>
      <sz val="10"/>
      <color theme="1"/>
      <name val="Calibri"/>
      <family val="2"/>
      <scheme val="minor"/>
    </font>
    <font>
      <b/>
      <sz val="10"/>
      <color theme="1"/>
      <name val="Calibri"/>
      <family val="2"/>
      <scheme val="minor"/>
    </font>
    <font>
      <b/>
      <sz val="10"/>
      <color theme="1"/>
      <name val="Arial"/>
      <family val="2"/>
    </font>
    <font>
      <sz val="10"/>
      <color theme="1"/>
      <name val="Arial"/>
      <family val="2"/>
    </font>
    <font>
      <sz val="10"/>
      <name val="Arial"/>
      <family val="2"/>
    </font>
    <font>
      <b/>
      <sz val="9"/>
      <color theme="1"/>
      <name val="Calibri"/>
      <family val="2"/>
      <scheme val="minor"/>
    </font>
    <font>
      <b/>
      <sz val="11"/>
      <color rgb="FF000000"/>
      <name val="Arial"/>
      <family val="2"/>
    </font>
    <font>
      <sz val="11"/>
      <color rgb="FF000000"/>
      <name val="Calibri"/>
      <family val="2"/>
    </font>
    <font>
      <sz val="11"/>
      <color rgb="FF000000"/>
      <name val="Arial"/>
      <family val="2"/>
    </font>
    <font>
      <sz val="10"/>
      <color rgb="FF000000"/>
      <name val="Calibri"/>
      <family val="2"/>
    </font>
    <font>
      <b/>
      <sz val="12"/>
      <color theme="1"/>
      <name val="Calibri"/>
      <family val="2"/>
      <scheme val="minor"/>
    </font>
    <font>
      <b/>
      <sz val="10"/>
      <name val="Arial"/>
      <family val="2"/>
    </font>
    <font>
      <b/>
      <sz val="12"/>
      <color rgb="FF000000"/>
      <name val="Arial"/>
      <family val="2"/>
    </font>
    <font>
      <sz val="8"/>
      <color theme="1"/>
      <name val="Calibri"/>
      <family val="2"/>
      <scheme val="minor"/>
    </font>
    <font>
      <b/>
      <sz val="8"/>
      <name val="Arial"/>
      <family val="2"/>
    </font>
    <font>
      <b/>
      <sz val="9"/>
      <name val="Arial"/>
      <family val="2"/>
    </font>
  </fonts>
  <fills count="5">
    <fill>
      <patternFill patternType="none"/>
    </fill>
    <fill>
      <patternFill patternType="gray125"/>
    </fill>
    <fill>
      <patternFill patternType="solid">
        <fgColor rgb="FFFFE699"/>
        <bgColor rgb="FF000000"/>
      </patternFill>
    </fill>
    <fill>
      <patternFill patternType="solid">
        <fgColor rgb="FFF8CBAD"/>
        <bgColor rgb="FF000000"/>
      </patternFill>
    </fill>
    <fill>
      <patternFill patternType="solid">
        <fgColor rgb="FFC6E0B4"/>
        <bgColor rgb="FF000000"/>
      </patternFill>
    </fill>
  </fills>
  <borders count="8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indexed="64"/>
      </top>
      <bottom style="thin">
        <color indexed="64"/>
      </bottom>
      <diagonal/>
    </border>
    <border>
      <left style="medium">
        <color indexed="64"/>
      </left>
      <right style="thin">
        <color indexed="64"/>
      </right>
      <top style="thin">
        <color rgb="FF000000"/>
      </top>
      <bottom style="medium">
        <color rgb="FF000000"/>
      </bottom>
      <diagonal/>
    </border>
    <border>
      <left style="thin">
        <color indexed="64"/>
      </left>
      <right style="thin">
        <color indexed="64"/>
      </right>
      <top style="thin">
        <color rgb="FF000000"/>
      </top>
      <bottom style="medium">
        <color rgb="FF000000"/>
      </bottom>
      <diagonal/>
    </border>
    <border>
      <left style="thin">
        <color indexed="64"/>
      </left>
      <right style="medium">
        <color indexed="64"/>
      </right>
      <top style="thin">
        <color rgb="FF000000"/>
      </top>
      <bottom style="medium">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style="medium">
        <color indexed="64"/>
      </bottom>
      <diagonal/>
    </border>
  </borders>
  <cellStyleXfs count="2">
    <xf numFmtId="0" fontId="0" fillId="0" borderId="0"/>
    <xf numFmtId="9" fontId="1" fillId="0" borderId="0" applyFont="0" applyFill="0" applyBorder="0" applyAlignment="0" applyProtection="0"/>
  </cellStyleXfs>
  <cellXfs count="292">
    <xf numFmtId="0" fontId="0" fillId="0" borderId="0" xfId="0"/>
    <xf numFmtId="9" fontId="5" fillId="0" borderId="0" xfId="1" applyFont="1" applyFill="1" applyBorder="1" applyAlignment="1">
      <alignment horizontal="center" vertical="center" wrapText="1"/>
    </xf>
    <xf numFmtId="0" fontId="4" fillId="0" borderId="0" xfId="0" applyFont="1" applyAlignment="1">
      <alignment horizontal="center" vertical="center"/>
    </xf>
    <xf numFmtId="0" fontId="10" fillId="0" borderId="10" xfId="0" applyFont="1" applyBorder="1" applyAlignment="1">
      <alignment horizontal="center" vertical="center" wrapText="1"/>
    </xf>
    <xf numFmtId="0" fontId="10" fillId="0" borderId="41" xfId="0" applyFont="1" applyBorder="1" applyAlignment="1">
      <alignment horizontal="center" vertical="center" wrapText="1"/>
    </xf>
    <xf numFmtId="0" fontId="10" fillId="2" borderId="41" xfId="0" applyFont="1" applyFill="1" applyBorder="1" applyAlignment="1">
      <alignment horizontal="center" vertical="center" wrapText="1"/>
    </xf>
    <xf numFmtId="0" fontId="11" fillId="0" borderId="0" xfId="0" applyFont="1" applyAlignment="1">
      <alignment horizontal="center" vertical="center" wrapText="1"/>
    </xf>
    <xf numFmtId="0" fontId="0" fillId="0" borderId="0" xfId="0" applyAlignment="1">
      <alignment horizontal="center" vertical="center"/>
    </xf>
    <xf numFmtId="0" fontId="12" fillId="0" borderId="37" xfId="0" applyFont="1" applyBorder="1" applyAlignment="1">
      <alignment horizontal="center" vertical="center" wrapText="1"/>
    </xf>
    <xf numFmtId="0" fontId="12" fillId="0" borderId="19" xfId="0" applyFont="1" applyBorder="1" applyAlignment="1">
      <alignment horizontal="center" vertical="center" wrapText="1"/>
    </xf>
    <xf numFmtId="0" fontId="12" fillId="2" borderId="19" xfId="0" applyFont="1" applyFill="1" applyBorder="1" applyAlignment="1">
      <alignment horizontal="center" vertical="center" wrapText="1"/>
    </xf>
    <xf numFmtId="0" fontId="12" fillId="0" borderId="0" xfId="0" applyFont="1" applyAlignment="1">
      <alignment horizontal="center" vertical="center" wrapText="1"/>
    </xf>
    <xf numFmtId="0" fontId="13" fillId="0" borderId="19" xfId="0" applyFont="1" applyBorder="1" applyAlignment="1">
      <alignment horizontal="center" vertical="center" wrapText="1"/>
    </xf>
    <xf numFmtId="0" fontId="6" fillId="0" borderId="0" xfId="0" applyFont="1"/>
    <xf numFmtId="0" fontId="7" fillId="0" borderId="76" xfId="0" applyFont="1" applyBorder="1"/>
    <xf numFmtId="0" fontId="14" fillId="0" borderId="0" xfId="0" applyFont="1" applyAlignment="1">
      <alignment vertical="center" wrapText="1"/>
    </xf>
    <xf numFmtId="0" fontId="14" fillId="0" borderId="0" xfId="0" applyFont="1"/>
    <xf numFmtId="0" fontId="7" fillId="0" borderId="0" xfId="0" applyFont="1"/>
    <xf numFmtId="0" fontId="15" fillId="0" borderId="76" xfId="0" applyFont="1" applyBorder="1" applyAlignment="1">
      <alignment horizontal="left" vertical="top" wrapText="1"/>
    </xf>
    <xf numFmtId="0" fontId="8" fillId="0" borderId="76" xfId="0" applyFont="1" applyBorder="1"/>
    <xf numFmtId="0" fontId="8" fillId="0" borderId="0" xfId="0" applyFont="1"/>
    <xf numFmtId="0" fontId="10" fillId="3" borderId="41" xfId="0" applyFont="1" applyFill="1" applyBorder="1" applyAlignment="1">
      <alignment horizontal="center" vertical="center" wrapText="1"/>
    </xf>
    <xf numFmtId="0" fontId="10" fillId="4" borderId="41" xfId="0" applyFont="1" applyFill="1" applyBorder="1" applyAlignment="1">
      <alignment horizontal="center" vertical="center" wrapText="1"/>
    </xf>
    <xf numFmtId="9" fontId="4" fillId="0" borderId="60" xfId="1" applyFont="1" applyFill="1" applyBorder="1" applyAlignment="1">
      <alignment horizontal="center" vertical="center" wrapText="1"/>
    </xf>
    <xf numFmtId="0" fontId="13" fillId="0" borderId="41" xfId="0" applyFont="1" applyBorder="1" applyAlignment="1">
      <alignment horizontal="center" vertical="center" wrapText="1"/>
    </xf>
    <xf numFmtId="0" fontId="0" fillId="0" borderId="0" xfId="0" applyFill="1"/>
    <xf numFmtId="0" fontId="3" fillId="0" borderId="22" xfId="0" applyFont="1" applyFill="1" applyBorder="1" applyAlignment="1">
      <alignment vertical="center" wrapText="1"/>
    </xf>
    <xf numFmtId="0" fontId="3" fillId="0" borderId="23" xfId="0" applyFont="1" applyFill="1" applyBorder="1" applyAlignment="1">
      <alignment vertical="center" wrapText="1"/>
    </xf>
    <xf numFmtId="0" fontId="3" fillId="0" borderId="24" xfId="0" applyFont="1" applyFill="1" applyBorder="1" applyAlignment="1">
      <alignment vertical="center" wrapText="1"/>
    </xf>
    <xf numFmtId="0" fontId="4" fillId="0" borderId="7" xfId="0"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8"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18" xfId="0" applyFont="1" applyFill="1" applyBorder="1" applyAlignment="1">
      <alignment horizontal="center" vertical="center" wrapText="1"/>
    </xf>
    <xf numFmtId="0" fontId="2" fillId="0" borderId="21"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34" xfId="0" applyFont="1" applyFill="1" applyBorder="1" applyAlignment="1">
      <alignment horizontal="center" vertical="center" wrapText="1"/>
    </xf>
    <xf numFmtId="0" fontId="2" fillId="0" borderId="32" xfId="0" applyFont="1" applyFill="1" applyBorder="1" applyAlignment="1">
      <alignment horizontal="center" vertical="center" wrapText="1"/>
    </xf>
    <xf numFmtId="0" fontId="2" fillId="0" borderId="35" xfId="0" applyFont="1" applyFill="1" applyBorder="1" applyAlignment="1">
      <alignment horizontal="center" vertical="center" wrapText="1"/>
    </xf>
    <xf numFmtId="0" fontId="3" fillId="0" borderId="0" xfId="0" applyFont="1" applyFill="1" applyAlignment="1">
      <alignment horizontal="center" vertical="center" wrapText="1"/>
    </xf>
    <xf numFmtId="0" fontId="8" fillId="0" borderId="0" xfId="0" applyFont="1" applyFill="1" applyAlignment="1">
      <alignment horizontal="left" vertical="center" wrapText="1"/>
    </xf>
    <xf numFmtId="0" fontId="7" fillId="0" borderId="0" xfId="0" applyFont="1" applyFill="1" applyAlignment="1">
      <alignment horizontal="center" vertical="center" wrapText="1"/>
    </xf>
    <xf numFmtId="0" fontId="5" fillId="0" borderId="53" xfId="0" applyFont="1" applyFill="1" applyBorder="1" applyAlignment="1">
      <alignment vertical="center" wrapText="1"/>
    </xf>
    <xf numFmtId="0" fontId="5" fillId="0" borderId="54" xfId="0" applyFont="1" applyFill="1" applyBorder="1" applyAlignment="1">
      <alignment vertical="center" wrapText="1"/>
    </xf>
    <xf numFmtId="0" fontId="5" fillId="0" borderId="56" xfId="0" applyFont="1" applyFill="1" applyBorder="1" applyAlignment="1">
      <alignment horizontal="center" vertical="center" wrapText="1"/>
    </xf>
    <xf numFmtId="0" fontId="5" fillId="0" borderId="55" xfId="0" applyFont="1" applyFill="1" applyBorder="1" applyAlignment="1">
      <alignment horizontal="center" vertical="center" wrapText="1"/>
    </xf>
    <xf numFmtId="0" fontId="5" fillId="0" borderId="10" xfId="0" applyFont="1" applyFill="1" applyBorder="1" applyAlignment="1">
      <alignment vertical="center" wrapText="1"/>
    </xf>
    <xf numFmtId="0" fontId="5" fillId="0" borderId="10" xfId="0" applyFont="1" applyFill="1" applyBorder="1" applyAlignment="1">
      <alignment horizontal="center" vertical="center" wrapText="1"/>
    </xf>
    <xf numFmtId="0" fontId="4" fillId="0" borderId="10" xfId="0" applyFont="1" applyFill="1" applyBorder="1" applyAlignment="1">
      <alignment vertical="center" wrapText="1"/>
    </xf>
    <xf numFmtId="0" fontId="4" fillId="0" borderId="10" xfId="0" applyFont="1" applyFill="1" applyBorder="1" applyAlignment="1">
      <alignment horizontal="center" vertical="center" wrapText="1"/>
    </xf>
    <xf numFmtId="0" fontId="5" fillId="0" borderId="49" xfId="0" applyFont="1" applyFill="1" applyBorder="1" applyAlignment="1">
      <alignment vertical="center" wrapText="1"/>
    </xf>
    <xf numFmtId="0" fontId="5" fillId="0" borderId="51" xfId="0" applyFont="1" applyFill="1" applyBorder="1" applyAlignment="1">
      <alignment vertical="center" wrapText="1"/>
    </xf>
    <xf numFmtId="0" fontId="5" fillId="0" borderId="43" xfId="0" applyFont="1" applyFill="1" applyBorder="1" applyAlignment="1">
      <alignment horizontal="center" vertical="center" wrapText="1"/>
    </xf>
    <xf numFmtId="0" fontId="5" fillId="0" borderId="50" xfId="0" applyFont="1" applyFill="1" applyBorder="1" applyAlignment="1">
      <alignment horizontal="center" vertical="center" wrapText="1"/>
    </xf>
    <xf numFmtId="0" fontId="5" fillId="0" borderId="37" xfId="0" applyFont="1" applyFill="1" applyBorder="1" applyAlignment="1">
      <alignment vertical="center" wrapText="1"/>
    </xf>
    <xf numFmtId="0" fontId="5" fillId="0" borderId="37" xfId="0" applyFont="1" applyFill="1" applyBorder="1" applyAlignment="1">
      <alignment horizontal="center" vertical="center" wrapText="1"/>
    </xf>
    <xf numFmtId="0" fontId="5" fillId="0" borderId="0" xfId="0" applyFont="1" applyFill="1" applyAlignment="1">
      <alignment horizontal="center" vertical="center" wrapText="1"/>
    </xf>
    <xf numFmtId="0" fontId="5" fillId="0" borderId="26" xfId="0" applyFont="1" applyFill="1" applyBorder="1" applyAlignment="1">
      <alignment horizontal="center" vertical="center" wrapText="1"/>
    </xf>
    <xf numFmtId="9" fontId="5" fillId="0" borderId="26" xfId="1" applyFont="1" applyFill="1" applyBorder="1" applyAlignment="1">
      <alignment horizontal="center" vertical="center" wrapText="1"/>
    </xf>
    <xf numFmtId="9" fontId="5" fillId="0" borderId="26" xfId="0" applyNumberFormat="1" applyFont="1" applyFill="1" applyBorder="1" applyAlignment="1">
      <alignment horizontal="center" vertical="center" wrapText="1"/>
    </xf>
    <xf numFmtId="0" fontId="4" fillId="0" borderId="9" xfId="0" applyFont="1" applyFill="1" applyBorder="1" applyAlignment="1">
      <alignment horizontal="center" vertical="center" wrapText="1"/>
    </xf>
    <xf numFmtId="9" fontId="4" fillId="0" borderId="10" xfId="1" applyFont="1" applyFill="1" applyBorder="1" applyAlignment="1">
      <alignment horizontal="center" vertical="center" wrapText="1"/>
    </xf>
    <xf numFmtId="9" fontId="4" fillId="0" borderId="10" xfId="0" applyNumberFormat="1" applyFont="1" applyFill="1" applyBorder="1" applyAlignment="1">
      <alignment horizontal="center" vertical="center" wrapText="1"/>
    </xf>
    <xf numFmtId="0" fontId="4" fillId="0" borderId="36" xfId="0" applyFont="1" applyFill="1" applyBorder="1" applyAlignment="1">
      <alignment horizontal="center" vertical="center" wrapText="1"/>
    </xf>
    <xf numFmtId="9" fontId="4" fillId="0" borderId="36" xfId="1" applyFont="1" applyFill="1" applyBorder="1" applyAlignment="1">
      <alignment horizontal="center" vertical="center" wrapText="1"/>
    </xf>
    <xf numFmtId="9" fontId="4" fillId="0" borderId="36" xfId="0" applyNumberFormat="1" applyFont="1" applyFill="1" applyBorder="1" applyAlignment="1">
      <alignment horizontal="center" vertical="center" wrapText="1"/>
    </xf>
    <xf numFmtId="0" fontId="4" fillId="0" borderId="0" xfId="0" applyFont="1" applyFill="1" applyAlignment="1">
      <alignment vertical="center" wrapText="1"/>
    </xf>
    <xf numFmtId="0" fontId="4" fillId="0" borderId="0" xfId="0" applyFont="1" applyFill="1"/>
    <xf numFmtId="0" fontId="5" fillId="0" borderId="7" xfId="0" applyFont="1" applyFill="1" applyBorder="1" applyAlignment="1">
      <alignment horizontal="center" vertical="center"/>
    </xf>
    <xf numFmtId="0" fontId="5" fillId="0" borderId="0" xfId="0" applyFont="1" applyFill="1" applyAlignment="1">
      <alignment horizontal="center" vertical="center"/>
    </xf>
    <xf numFmtId="0" fontId="4" fillId="0" borderId="0" xfId="0" applyFont="1" applyFill="1" applyAlignment="1">
      <alignment horizontal="center" vertical="center"/>
    </xf>
    <xf numFmtId="9" fontId="4" fillId="0" borderId="0" xfId="1" applyFont="1" applyFill="1" applyBorder="1" applyAlignment="1">
      <alignment horizontal="center" vertical="center"/>
    </xf>
    <xf numFmtId="9" fontId="4" fillId="0" borderId="0" xfId="1" applyFont="1" applyFill="1" applyBorder="1" applyAlignment="1">
      <alignment vertical="center"/>
    </xf>
    <xf numFmtId="0" fontId="5" fillId="0" borderId="0" xfId="0" applyFont="1" applyFill="1" applyAlignment="1">
      <alignment vertical="center" wrapText="1"/>
    </xf>
    <xf numFmtId="0" fontId="4" fillId="0" borderId="1" xfId="0" applyFont="1" applyFill="1" applyBorder="1"/>
    <xf numFmtId="0" fontId="4" fillId="0" borderId="2" xfId="0" applyFont="1" applyFill="1" applyBorder="1" applyAlignment="1">
      <alignment vertical="center"/>
    </xf>
    <xf numFmtId="0" fontId="4" fillId="0" borderId="3" xfId="0" applyFont="1" applyFill="1" applyBorder="1"/>
    <xf numFmtId="0" fontId="4" fillId="0" borderId="7" xfId="0" applyFont="1" applyFill="1" applyBorder="1"/>
    <xf numFmtId="0" fontId="4" fillId="0" borderId="18" xfId="0" applyFont="1" applyFill="1" applyBorder="1" applyAlignment="1">
      <alignment horizontal="center" vertical="center"/>
    </xf>
    <xf numFmtId="0" fontId="4" fillId="0" borderId="0" xfId="0" applyFont="1" applyFill="1" applyAlignment="1">
      <alignment vertical="center"/>
    </xf>
    <xf numFmtId="0" fontId="4" fillId="0" borderId="8" xfId="0" applyFont="1" applyFill="1" applyBorder="1"/>
    <xf numFmtId="0" fontId="5" fillId="0" borderId="7" xfId="0" applyFont="1" applyFill="1" applyBorder="1"/>
    <xf numFmtId="9" fontId="4" fillId="0" borderId="0" xfId="0" applyNumberFormat="1" applyFont="1" applyFill="1" applyAlignment="1">
      <alignment vertical="center"/>
    </xf>
    <xf numFmtId="0" fontId="5" fillId="0" borderId="8" xfId="0" applyFont="1" applyFill="1" applyBorder="1"/>
    <xf numFmtId="0" fontId="5" fillId="0" borderId="0" xfId="0" applyFont="1" applyFill="1" applyAlignment="1">
      <alignment vertical="center"/>
    </xf>
    <xf numFmtId="0" fontId="2" fillId="0" borderId="8" xfId="0" applyFont="1" applyFill="1" applyBorder="1"/>
    <xf numFmtId="0" fontId="4" fillId="0" borderId="8" xfId="0" applyFont="1" applyFill="1" applyBorder="1" applyAlignment="1">
      <alignment horizontal="center"/>
    </xf>
    <xf numFmtId="0" fontId="5"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wrapText="1"/>
    </xf>
    <xf numFmtId="0" fontId="4" fillId="0" borderId="7" xfId="0" applyFont="1" applyFill="1" applyBorder="1" applyAlignment="1">
      <alignment vertical="center" wrapText="1"/>
    </xf>
    <xf numFmtId="0" fontId="4" fillId="0" borderId="8" xfId="0" applyFont="1" applyFill="1" applyBorder="1" applyAlignment="1">
      <alignment vertical="center" wrapText="1"/>
    </xf>
    <xf numFmtId="0" fontId="4" fillId="0" borderId="22" xfId="0" applyFont="1" applyFill="1" applyBorder="1" applyAlignment="1">
      <alignment vertical="center" wrapText="1"/>
    </xf>
    <xf numFmtId="0" fontId="4" fillId="0" borderId="23" xfId="0" applyFont="1" applyFill="1" applyBorder="1" applyAlignment="1">
      <alignment vertical="center" wrapText="1"/>
    </xf>
    <xf numFmtId="0" fontId="4" fillId="0" borderId="24" xfId="0" applyFont="1" applyFill="1" applyBorder="1" applyAlignment="1">
      <alignment vertical="center" wrapText="1"/>
    </xf>
    <xf numFmtId="0" fontId="5" fillId="0" borderId="0" xfId="0" applyFont="1" applyFill="1" applyAlignment="1">
      <alignment horizontal="center" vertical="center"/>
    </xf>
    <xf numFmtId="0" fontId="4" fillId="0" borderId="18" xfId="0" applyFont="1" applyFill="1" applyBorder="1" applyAlignment="1">
      <alignment horizontal="center" vertical="center"/>
    </xf>
    <xf numFmtId="0" fontId="5" fillId="0" borderId="0" xfId="0" applyFont="1" applyFill="1" applyAlignment="1">
      <alignment horizontal="left" vertical="center" wrapText="1"/>
    </xf>
    <xf numFmtId="0" fontId="5" fillId="0" borderId="0" xfId="0" applyFont="1" applyFill="1" applyAlignment="1">
      <alignment horizontal="left" vertical="top" wrapText="1"/>
    </xf>
    <xf numFmtId="0" fontId="4" fillId="0" borderId="2" xfId="0" applyFont="1" applyFill="1" applyBorder="1" applyAlignment="1">
      <alignment horizontal="center" vertical="center"/>
    </xf>
    <xf numFmtId="0" fontId="5" fillId="0" borderId="0" xfId="0" applyFont="1" applyFill="1" applyAlignment="1">
      <alignment horizontal="left" vertical="center"/>
    </xf>
    <xf numFmtId="0" fontId="5" fillId="0" borderId="10"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20" xfId="0" applyFont="1" applyFill="1" applyBorder="1" applyAlignment="1">
      <alignment horizontal="center" vertical="center" wrapText="1"/>
    </xf>
    <xf numFmtId="0" fontId="5" fillId="0" borderId="18" xfId="0" applyFont="1" applyFill="1" applyBorder="1" applyAlignment="1">
      <alignment horizontal="center" vertical="center" wrapText="1"/>
    </xf>
    <xf numFmtId="0" fontId="5" fillId="0" borderId="19" xfId="0" applyFont="1" applyFill="1" applyBorder="1" applyAlignment="1">
      <alignment horizontal="center" vertical="center" wrapText="1"/>
    </xf>
    <xf numFmtId="0" fontId="5" fillId="0" borderId="0" xfId="0" applyFont="1" applyFill="1" applyAlignment="1">
      <alignment horizontal="center" vertical="center" wrapText="1"/>
    </xf>
    <xf numFmtId="9" fontId="5" fillId="0" borderId="10" xfId="1" applyFont="1" applyFill="1" applyBorder="1" applyAlignment="1">
      <alignment horizontal="center" vertical="center" wrapText="1"/>
    </xf>
    <xf numFmtId="9" fontId="5" fillId="0" borderId="42" xfId="1" applyFont="1" applyFill="1" applyBorder="1" applyAlignment="1">
      <alignment horizontal="center" vertical="center" wrapText="1"/>
    </xf>
    <xf numFmtId="9" fontId="5" fillId="0" borderId="69" xfId="1" applyFont="1" applyFill="1" applyBorder="1" applyAlignment="1">
      <alignment horizontal="center" vertical="center" wrapText="1"/>
    </xf>
    <xf numFmtId="9" fontId="5" fillId="0" borderId="41" xfId="1" applyFont="1" applyFill="1" applyBorder="1" applyAlignment="1">
      <alignment horizontal="center" vertical="center" wrapText="1"/>
    </xf>
    <xf numFmtId="0" fontId="4" fillId="0" borderId="10" xfId="0" applyFont="1" applyFill="1" applyBorder="1" applyAlignment="1">
      <alignment horizontal="center" vertical="center"/>
    </xf>
    <xf numFmtId="9" fontId="4" fillId="0" borderId="10" xfId="1" applyFont="1" applyFill="1" applyBorder="1" applyAlignment="1">
      <alignment horizontal="center" vertical="center"/>
    </xf>
    <xf numFmtId="9" fontId="4" fillId="0" borderId="42" xfId="1" applyFont="1" applyFill="1" applyBorder="1" applyAlignment="1">
      <alignment horizontal="center" vertical="center"/>
    </xf>
    <xf numFmtId="0" fontId="5" fillId="0" borderId="60" xfId="0" applyFont="1" applyFill="1" applyBorder="1" applyAlignment="1">
      <alignment horizontal="center"/>
    </xf>
    <xf numFmtId="0" fontId="5" fillId="0" borderId="49" xfId="0" applyFont="1" applyFill="1" applyBorder="1" applyAlignment="1">
      <alignment horizontal="center" vertical="center"/>
    </xf>
    <xf numFmtId="0" fontId="5" fillId="0" borderId="50" xfId="0" applyFont="1" applyFill="1" applyBorder="1" applyAlignment="1">
      <alignment horizontal="center" vertical="center"/>
    </xf>
    <xf numFmtId="0" fontId="5" fillId="0" borderId="51" xfId="0" applyFont="1" applyFill="1" applyBorder="1" applyAlignment="1">
      <alignment horizontal="center" vertical="center"/>
    </xf>
    <xf numFmtId="0" fontId="5" fillId="0" borderId="77" xfId="0" applyFont="1" applyFill="1" applyBorder="1" applyAlignment="1">
      <alignment horizontal="center" vertical="center" wrapText="1"/>
    </xf>
    <xf numFmtId="0" fontId="5" fillId="0" borderId="60" xfId="0" applyFont="1" applyFill="1" applyBorder="1" applyAlignment="1">
      <alignment horizontal="center" vertical="center" wrapText="1"/>
    </xf>
    <xf numFmtId="0" fontId="5" fillId="0" borderId="60" xfId="0" applyFont="1" applyFill="1" applyBorder="1" applyAlignment="1">
      <alignment horizontal="center" vertical="center"/>
    </xf>
    <xf numFmtId="0" fontId="9" fillId="0" borderId="10" xfId="0" applyFont="1" applyFill="1" applyBorder="1" applyAlignment="1">
      <alignment horizontal="center" vertical="center" wrapText="1"/>
    </xf>
    <xf numFmtId="0" fontId="9" fillId="0" borderId="42" xfId="0" applyFont="1" applyFill="1" applyBorder="1" applyAlignment="1">
      <alignment horizontal="center" vertical="center" wrapText="1"/>
    </xf>
    <xf numFmtId="0" fontId="5" fillId="0" borderId="78"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5" fillId="0" borderId="73" xfId="0" applyFont="1" applyFill="1" applyBorder="1" applyAlignment="1">
      <alignment horizontal="center" vertical="center" wrapText="1"/>
    </xf>
    <xf numFmtId="0" fontId="5" fillId="0" borderId="74" xfId="0" applyFont="1" applyFill="1" applyBorder="1" applyAlignment="1">
      <alignment horizontal="center" vertical="center" wrapText="1"/>
    </xf>
    <xf numFmtId="0" fontId="5" fillId="0" borderId="75" xfId="0" applyFont="1" applyFill="1" applyBorder="1" applyAlignment="1">
      <alignment horizontal="center" vertical="center" wrapText="1"/>
    </xf>
    <xf numFmtId="0" fontId="5" fillId="0" borderId="12" xfId="0" applyFont="1" applyFill="1" applyBorder="1" applyAlignment="1">
      <alignment horizontal="center" vertical="center"/>
    </xf>
    <xf numFmtId="0" fontId="5" fillId="0" borderId="13" xfId="0" applyFont="1" applyFill="1" applyBorder="1" applyAlignment="1">
      <alignment horizontal="center" vertical="center"/>
    </xf>
    <xf numFmtId="0" fontId="5" fillId="0" borderId="16" xfId="0" applyFont="1" applyFill="1" applyBorder="1" applyAlignment="1">
      <alignment horizontal="center" vertical="center"/>
    </xf>
    <xf numFmtId="0" fontId="5" fillId="0" borderId="44" xfId="0" applyFont="1" applyFill="1" applyBorder="1" applyAlignment="1">
      <alignment horizontal="center" vertical="center" wrapText="1"/>
    </xf>
    <xf numFmtId="0" fontId="5" fillId="0" borderId="26" xfId="0" applyFont="1" applyFill="1" applyBorder="1" applyAlignment="1">
      <alignment horizontal="center" vertical="center" wrapText="1"/>
    </xf>
    <xf numFmtId="0" fontId="4" fillId="0" borderId="26" xfId="0" applyFont="1" applyFill="1" applyBorder="1" applyAlignment="1">
      <alignment horizontal="center" vertical="center" wrapText="1"/>
    </xf>
    <xf numFmtId="0" fontId="4" fillId="0" borderId="27" xfId="0" applyFont="1" applyFill="1" applyBorder="1" applyAlignment="1">
      <alignment horizontal="center" vertical="center" wrapText="1"/>
    </xf>
    <xf numFmtId="0" fontId="5" fillId="0" borderId="7" xfId="0" applyFont="1" applyFill="1" applyBorder="1" applyAlignment="1">
      <alignment horizontal="center" vertical="center"/>
    </xf>
    <xf numFmtId="0" fontId="5" fillId="0" borderId="8" xfId="0" applyFont="1" applyFill="1" applyBorder="1" applyAlignment="1">
      <alignment horizontal="center" vertical="center"/>
    </xf>
    <xf numFmtId="0" fontId="4" fillId="0" borderId="46" xfId="0" applyFont="1" applyFill="1" applyBorder="1" applyAlignment="1">
      <alignment horizontal="center" vertical="center" wrapText="1"/>
    </xf>
    <xf numFmtId="0" fontId="4" fillId="0" borderId="36" xfId="0" applyFont="1" applyFill="1" applyBorder="1" applyAlignment="1">
      <alignment horizontal="center" vertical="center" wrapText="1"/>
    </xf>
    <xf numFmtId="0" fontId="5" fillId="0" borderId="36" xfId="0" applyFont="1" applyFill="1" applyBorder="1" applyAlignment="1">
      <alignment horizontal="center" vertical="center" wrapText="1"/>
    </xf>
    <xf numFmtId="0" fontId="5" fillId="0" borderId="52" xfId="0" applyFont="1" applyFill="1" applyBorder="1" applyAlignment="1">
      <alignment horizontal="center" vertical="center" wrapText="1"/>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xf numFmtId="0" fontId="5" fillId="0" borderId="9"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17" fillId="0" borderId="10" xfId="0" applyFont="1" applyFill="1" applyBorder="1" applyAlignment="1">
      <alignment horizontal="center" vertical="center" wrapText="1"/>
    </xf>
    <xf numFmtId="0" fontId="4" fillId="0" borderId="0" xfId="0" applyFont="1" applyFill="1" applyAlignment="1">
      <alignment horizontal="center" vertical="center" wrapText="1"/>
    </xf>
    <xf numFmtId="0" fontId="3" fillId="0" borderId="49" xfId="0" applyFont="1" applyFill="1" applyBorder="1" applyAlignment="1">
      <alignment horizontal="center" vertical="center" wrapText="1"/>
    </xf>
    <xf numFmtId="0" fontId="3" fillId="0" borderId="50" xfId="0" applyFont="1" applyFill="1" applyBorder="1" applyAlignment="1">
      <alignment horizontal="center" vertical="center" wrapText="1"/>
    </xf>
    <xf numFmtId="0" fontId="3" fillId="0" borderId="51" xfId="0" applyFont="1" applyFill="1" applyBorder="1" applyAlignment="1">
      <alignment horizontal="center" vertical="center" wrapText="1"/>
    </xf>
    <xf numFmtId="0" fontId="5" fillId="0" borderId="46" xfId="0" applyFont="1" applyFill="1" applyBorder="1" applyAlignment="1">
      <alignment horizontal="center" vertical="center" wrapText="1"/>
    </xf>
    <xf numFmtId="0" fontId="5" fillId="0" borderId="41" xfId="0" applyFont="1" applyFill="1" applyBorder="1" applyAlignment="1">
      <alignment horizontal="center" vertical="center" wrapText="1"/>
    </xf>
    <xf numFmtId="0" fontId="5" fillId="0" borderId="42" xfId="0" applyFont="1" applyFill="1" applyBorder="1" applyAlignment="1">
      <alignment horizontal="center" vertical="center" wrapText="1"/>
    </xf>
    <xf numFmtId="0" fontId="4" fillId="0" borderId="41" xfId="0" applyFont="1" applyFill="1" applyBorder="1" applyAlignment="1">
      <alignment horizontal="center" vertical="center" wrapText="1"/>
    </xf>
    <xf numFmtId="0" fontId="4" fillId="0" borderId="70" xfId="0" applyFont="1" applyFill="1" applyBorder="1" applyAlignment="1">
      <alignment horizontal="center" vertical="center" wrapText="1"/>
    </xf>
    <xf numFmtId="0" fontId="4" fillId="0" borderId="71" xfId="0" applyFont="1" applyFill="1" applyBorder="1" applyAlignment="1">
      <alignment horizontal="center" vertical="center" wrapText="1"/>
    </xf>
    <xf numFmtId="0" fontId="4" fillId="0" borderId="72" xfId="0" applyFont="1" applyFill="1" applyBorder="1" applyAlignment="1">
      <alignment horizontal="center" vertical="center" wrapText="1"/>
    </xf>
    <xf numFmtId="0" fontId="4" fillId="0" borderId="48" xfId="0" applyFont="1" applyFill="1" applyBorder="1" applyAlignment="1">
      <alignment horizontal="center" vertical="center" wrapText="1"/>
    </xf>
    <xf numFmtId="0" fontId="4" fillId="0" borderId="47" xfId="0" applyFont="1" applyFill="1" applyBorder="1" applyAlignment="1">
      <alignment horizontal="center" vertical="center" wrapText="1"/>
    </xf>
    <xf numFmtId="0" fontId="4" fillId="0" borderId="44"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4" fillId="0" borderId="42" xfId="0" applyFont="1" applyFill="1" applyBorder="1" applyAlignment="1">
      <alignment horizontal="center" vertical="center" wrapText="1"/>
    </xf>
    <xf numFmtId="0" fontId="3" fillId="0" borderId="53" xfId="0" applyFont="1" applyFill="1" applyBorder="1" applyAlignment="1">
      <alignment horizontal="center" vertical="center" wrapText="1"/>
    </xf>
    <xf numFmtId="0" fontId="3" fillId="0" borderId="45" xfId="0" applyFont="1" applyFill="1" applyBorder="1" applyAlignment="1">
      <alignment horizontal="center" vertical="center" wrapText="1"/>
    </xf>
    <xf numFmtId="0" fontId="3" fillId="0" borderId="54" xfId="0" applyFont="1" applyFill="1" applyBorder="1" applyAlignment="1">
      <alignment horizontal="center" vertical="center" wrapText="1"/>
    </xf>
    <xf numFmtId="0" fontId="5" fillId="0" borderId="28" xfId="0" applyFont="1" applyFill="1" applyBorder="1" applyAlignment="1">
      <alignment horizontal="center" vertical="center" wrapText="1"/>
    </xf>
    <xf numFmtId="0" fontId="5" fillId="0" borderId="29" xfId="0" applyFont="1" applyFill="1" applyBorder="1" applyAlignment="1">
      <alignment horizontal="center" vertical="center" wrapText="1"/>
    </xf>
    <xf numFmtId="0" fontId="5" fillId="0" borderId="30" xfId="0" applyFont="1" applyFill="1" applyBorder="1" applyAlignment="1">
      <alignment horizontal="center" vertical="center" wrapText="1"/>
    </xf>
    <xf numFmtId="0" fontId="5" fillId="0" borderId="43" xfId="0" applyFont="1" applyFill="1" applyBorder="1" applyAlignment="1">
      <alignment horizontal="center" vertical="center" wrapText="1"/>
    </xf>
    <xf numFmtId="0" fontId="2" fillId="0" borderId="44" xfId="0" applyFont="1" applyFill="1" applyBorder="1" applyAlignment="1">
      <alignment horizontal="center" vertical="center" wrapText="1"/>
    </xf>
    <xf numFmtId="0" fontId="2" fillId="0" borderId="26" xfId="0" applyFont="1" applyFill="1" applyBorder="1" applyAlignment="1">
      <alignment horizontal="center" vertical="center" wrapText="1"/>
    </xf>
    <xf numFmtId="0" fontId="5" fillId="0" borderId="49" xfId="0" applyFont="1" applyFill="1" applyBorder="1" applyAlignment="1">
      <alignment horizontal="center" vertical="center" wrapText="1"/>
    </xf>
    <xf numFmtId="0" fontId="5" fillId="0" borderId="50" xfId="0" applyFont="1" applyFill="1" applyBorder="1" applyAlignment="1">
      <alignment horizontal="center" vertical="center" wrapText="1"/>
    </xf>
    <xf numFmtId="0" fontId="5" fillId="0" borderId="51"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5" fillId="0" borderId="37" xfId="0" applyFont="1" applyFill="1" applyBorder="1" applyAlignment="1">
      <alignment horizontal="center" vertical="center" wrapText="1"/>
    </xf>
    <xf numFmtId="0" fontId="3" fillId="0" borderId="22" xfId="0" applyFont="1" applyFill="1" applyBorder="1" applyAlignment="1">
      <alignment horizontal="center" vertical="center" wrapText="1"/>
    </xf>
    <xf numFmtId="0" fontId="3" fillId="0" borderId="23" xfId="0" applyFont="1" applyFill="1" applyBorder="1" applyAlignment="1">
      <alignment horizontal="center" vertical="center" wrapText="1"/>
    </xf>
    <xf numFmtId="0" fontId="3" fillId="0" borderId="24" xfId="0" applyFont="1" applyFill="1" applyBorder="1" applyAlignment="1">
      <alignment horizontal="center" vertical="center" wrapText="1"/>
    </xf>
    <xf numFmtId="0" fontId="5" fillId="0" borderId="55" xfId="0" applyFont="1" applyFill="1" applyBorder="1" applyAlignment="1">
      <alignment horizontal="center" vertical="center" wrapText="1"/>
    </xf>
    <xf numFmtId="0" fontId="5" fillId="0" borderId="57" xfId="0" applyFont="1" applyFill="1" applyBorder="1" applyAlignment="1">
      <alignment horizontal="center" vertical="center" wrapText="1"/>
    </xf>
    <xf numFmtId="0" fontId="3" fillId="0" borderId="66" xfId="0" applyFont="1" applyFill="1" applyBorder="1" applyAlignment="1">
      <alignment horizontal="center" vertical="center" wrapText="1"/>
    </xf>
    <xf numFmtId="0" fontId="3" fillId="0" borderId="67" xfId="0" applyFont="1" applyFill="1" applyBorder="1" applyAlignment="1">
      <alignment horizontal="center" vertical="center" wrapText="1"/>
    </xf>
    <xf numFmtId="0" fontId="3" fillId="0" borderId="68" xfId="0" applyFont="1" applyFill="1" applyBorder="1" applyAlignment="1">
      <alignment horizontal="center" vertical="center" wrapText="1"/>
    </xf>
    <xf numFmtId="0" fontId="2" fillId="0" borderId="62" xfId="0" applyFont="1" applyFill="1" applyBorder="1" applyAlignment="1">
      <alignment horizontal="left" vertical="center" wrapText="1"/>
    </xf>
    <xf numFmtId="0" fontId="7" fillId="0" borderId="62" xfId="0" applyFont="1" applyFill="1" applyBorder="1" applyAlignment="1">
      <alignment horizontal="center" vertical="center" wrapText="1"/>
    </xf>
    <xf numFmtId="0" fontId="7" fillId="0" borderId="63" xfId="0" applyFont="1" applyFill="1" applyBorder="1" applyAlignment="1">
      <alignment horizontal="center" vertical="center" wrapText="1"/>
    </xf>
    <xf numFmtId="0" fontId="3" fillId="0" borderId="28" xfId="0" applyFont="1" applyFill="1" applyBorder="1" applyAlignment="1">
      <alignment horizontal="center" vertical="center" wrapText="1"/>
    </xf>
    <xf numFmtId="0" fontId="3" fillId="0" borderId="29" xfId="0" applyFont="1" applyFill="1" applyBorder="1" applyAlignment="1">
      <alignment horizontal="center" vertical="center" wrapText="1"/>
    </xf>
    <xf numFmtId="0" fontId="3" fillId="0" borderId="30" xfId="0" applyFont="1" applyFill="1" applyBorder="1" applyAlignment="1">
      <alignment horizontal="center" vertical="center" wrapText="1"/>
    </xf>
    <xf numFmtId="0" fontId="3" fillId="0" borderId="65" xfId="0" applyFont="1" applyFill="1" applyBorder="1" applyAlignment="1">
      <alignment horizontal="center" vertical="center" wrapText="1"/>
    </xf>
    <xf numFmtId="0" fontId="3" fillId="0" borderId="60" xfId="0" applyFont="1" applyFill="1" applyBorder="1" applyAlignment="1">
      <alignment horizontal="center" vertical="center" wrapText="1"/>
    </xf>
    <xf numFmtId="0" fontId="4" fillId="0" borderId="60" xfId="0" applyFont="1" applyFill="1" applyBorder="1" applyAlignment="1">
      <alignment horizontal="center" vertical="center" wrapText="1"/>
    </xf>
    <xf numFmtId="0" fontId="2" fillId="0" borderId="60" xfId="0" applyFont="1" applyFill="1" applyBorder="1" applyAlignment="1">
      <alignment horizontal="left" vertical="center" wrapText="1"/>
    </xf>
    <xf numFmtId="0" fontId="7" fillId="0" borderId="60" xfId="0" applyFont="1" applyFill="1" applyBorder="1" applyAlignment="1">
      <alignment horizontal="center" vertical="center" wrapText="1"/>
    </xf>
    <xf numFmtId="0" fontId="7" fillId="0" borderId="61" xfId="0" applyFont="1" applyFill="1" applyBorder="1" applyAlignment="1">
      <alignment horizontal="center" vertical="center" wrapText="1"/>
    </xf>
    <xf numFmtId="0" fontId="3" fillId="0" borderId="60" xfId="0" applyFont="1" applyFill="1" applyBorder="1" applyAlignment="1">
      <alignment horizontal="left" vertical="center" wrapText="1"/>
    </xf>
    <xf numFmtId="0" fontId="2" fillId="0" borderId="11" xfId="0" applyFont="1" applyFill="1" applyBorder="1" applyAlignment="1">
      <alignment horizontal="center" vertical="center" wrapText="1"/>
    </xf>
    <xf numFmtId="0" fontId="3" fillId="0" borderId="38" xfId="0" applyFont="1" applyFill="1" applyBorder="1" applyAlignment="1">
      <alignment horizontal="center" vertical="center" wrapText="1"/>
    </xf>
    <xf numFmtId="0" fontId="3" fillId="0" borderId="39" xfId="0" applyFont="1" applyFill="1" applyBorder="1" applyAlignment="1">
      <alignment horizontal="center" vertical="center" wrapText="1"/>
    </xf>
    <xf numFmtId="0" fontId="3" fillId="0" borderId="40"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5" fillId="0" borderId="64" xfId="0" applyFont="1" applyFill="1" applyBorder="1" applyAlignment="1">
      <alignment horizontal="center" vertical="center" wrapText="1"/>
    </xf>
    <xf numFmtId="0" fontId="5" fillId="0" borderId="58" xfId="0" applyFont="1" applyFill="1" applyBorder="1" applyAlignment="1">
      <alignment horizontal="center" vertical="center" wrapText="1"/>
    </xf>
    <xf numFmtId="0" fontId="5" fillId="0" borderId="58" xfId="0" applyFont="1" applyFill="1" applyBorder="1" applyAlignment="1">
      <alignment horizontal="left" vertical="center" wrapText="1"/>
    </xf>
    <xf numFmtId="0" fontId="6" fillId="0" borderId="58" xfId="0" applyFont="1" applyFill="1" applyBorder="1" applyAlignment="1">
      <alignment horizontal="center" vertical="center" wrapText="1"/>
    </xf>
    <xf numFmtId="0" fontId="6" fillId="0" borderId="59" xfId="0" applyFont="1" applyFill="1" applyBorder="1" applyAlignment="1">
      <alignment horizontal="center" vertical="center" wrapText="1"/>
    </xf>
    <xf numFmtId="0" fontId="3" fillId="0" borderId="31" xfId="0" applyFont="1" applyFill="1" applyBorder="1" applyAlignment="1">
      <alignment horizontal="center" vertical="center" wrapText="1"/>
    </xf>
    <xf numFmtId="0" fontId="3" fillId="0" borderId="32" xfId="0" applyFont="1" applyFill="1" applyBorder="1" applyAlignment="1">
      <alignment horizontal="center" vertical="center" wrapText="1"/>
    </xf>
    <xf numFmtId="0" fontId="3" fillId="0" borderId="33"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8" xfId="0" applyFont="1" applyFill="1" applyBorder="1" applyAlignment="1">
      <alignment horizontal="center" vertical="center" wrapText="1"/>
    </xf>
    <xf numFmtId="0" fontId="2" fillId="0" borderId="0" xfId="0" applyFont="1" applyFill="1" applyAlignment="1">
      <alignment horizontal="center" vertical="center" wrapText="1"/>
    </xf>
    <xf numFmtId="0" fontId="8" fillId="0" borderId="12"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8" fillId="0" borderId="22" xfId="0" applyFont="1" applyFill="1" applyBorder="1" applyAlignment="1">
      <alignment horizontal="center" vertical="center" wrapText="1"/>
    </xf>
    <xf numFmtId="0" fontId="8" fillId="0" borderId="25" xfId="0" applyFont="1" applyFill="1" applyBorder="1" applyAlignment="1">
      <alignment horizontal="center" vertical="center" wrapText="1"/>
    </xf>
    <xf numFmtId="0" fontId="3" fillId="0" borderId="2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22" xfId="0" applyFont="1" applyFill="1" applyBorder="1" applyAlignment="1">
      <alignment horizontal="center" vertical="center" wrapText="1"/>
    </xf>
    <xf numFmtId="0" fontId="2" fillId="0" borderId="2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18" fillId="0" borderId="7" xfId="0" applyFont="1" applyFill="1" applyBorder="1" applyAlignment="1">
      <alignment horizontal="center" vertical="center" wrapText="1"/>
    </xf>
    <xf numFmtId="0" fontId="18" fillId="0" borderId="0" xfId="0" applyFont="1" applyFill="1" applyAlignment="1">
      <alignment horizontal="center" vertical="center" wrapText="1"/>
    </xf>
    <xf numFmtId="0" fontId="18" fillId="0" borderId="8" xfId="0" applyFont="1" applyFill="1" applyBorder="1" applyAlignment="1">
      <alignment horizontal="center" vertical="center" wrapText="1"/>
    </xf>
    <xf numFmtId="9" fontId="19" fillId="0" borderId="7" xfId="1" applyFont="1" applyFill="1" applyBorder="1" applyAlignment="1">
      <alignment horizontal="center" vertical="center" wrapText="1"/>
    </xf>
    <xf numFmtId="9" fontId="19" fillId="0" borderId="0" xfId="1" applyFont="1" applyFill="1" applyBorder="1" applyAlignment="1">
      <alignment horizontal="center" vertical="center" wrapText="1"/>
    </xf>
    <xf numFmtId="9" fontId="19" fillId="0" borderId="8" xfId="1" applyFont="1" applyFill="1" applyBorder="1" applyAlignment="1">
      <alignment horizontal="center" vertical="center" wrapText="1"/>
    </xf>
    <xf numFmtId="0" fontId="8" fillId="0" borderId="17" xfId="0" applyFont="1" applyFill="1" applyBorder="1" applyAlignment="1">
      <alignment horizontal="center" vertical="center" wrapText="1"/>
    </xf>
    <xf numFmtId="0" fontId="8" fillId="0" borderId="19" xfId="0" applyFont="1" applyFill="1" applyBorder="1" applyAlignment="1">
      <alignment horizontal="center" vertical="center" wrapText="1"/>
    </xf>
    <xf numFmtId="0" fontId="8" fillId="0" borderId="15"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8" fillId="0" borderId="20" xfId="0" applyFont="1" applyFill="1" applyBorder="1" applyAlignment="1">
      <alignment horizontal="center" vertical="center" wrapText="1"/>
    </xf>
    <xf numFmtId="0" fontId="8" fillId="0" borderId="18" xfId="0" applyFont="1" applyFill="1" applyBorder="1" applyAlignment="1">
      <alignment horizontal="center" vertical="center" wrapText="1"/>
    </xf>
    <xf numFmtId="0" fontId="8" fillId="0" borderId="21" xfId="0" applyFont="1" applyFill="1" applyBorder="1" applyAlignment="1">
      <alignment horizontal="center" vertical="center" wrapText="1"/>
    </xf>
    <xf numFmtId="0" fontId="19" fillId="0" borderId="7" xfId="0" applyFont="1" applyFill="1" applyBorder="1" applyAlignment="1">
      <alignment horizontal="center" vertical="center" wrapText="1"/>
    </xf>
    <xf numFmtId="0" fontId="19" fillId="0" borderId="0" xfId="0" applyFont="1" applyFill="1" applyAlignment="1">
      <alignment horizontal="center" vertical="center" wrapText="1"/>
    </xf>
    <xf numFmtId="0" fontId="19" fillId="0" borderId="8" xfId="0" applyFont="1" applyFill="1" applyBorder="1" applyAlignment="1">
      <alignment horizontal="center" vertical="center" wrapText="1"/>
    </xf>
    <xf numFmtId="0" fontId="15" fillId="0" borderId="7" xfId="0" applyFont="1" applyFill="1" applyBorder="1" applyAlignment="1">
      <alignment horizontal="center" vertical="center" wrapText="1"/>
    </xf>
    <xf numFmtId="0" fontId="15" fillId="0" borderId="0" xfId="0" applyFont="1" applyFill="1" applyAlignment="1">
      <alignment horizontal="center" vertical="center" wrapText="1"/>
    </xf>
    <xf numFmtId="0" fontId="15" fillId="0" borderId="8" xfId="0" applyFont="1" applyFill="1" applyBorder="1" applyAlignment="1">
      <alignment horizontal="center" vertical="center" wrapText="1"/>
    </xf>
    <xf numFmtId="0" fontId="8" fillId="0" borderId="79" xfId="0" applyFont="1" applyFill="1" applyBorder="1" applyAlignment="1">
      <alignment horizontal="center" vertical="center" wrapText="1"/>
    </xf>
    <xf numFmtId="0" fontId="8" fillId="0" borderId="23" xfId="0" applyFont="1" applyFill="1" applyBorder="1" applyAlignment="1">
      <alignment horizontal="center" vertical="center" wrapText="1"/>
    </xf>
    <xf numFmtId="0" fontId="8" fillId="0" borderId="24" xfId="0" applyFont="1" applyFill="1" applyBorder="1" applyAlignment="1">
      <alignment horizontal="center" vertical="center" wrapText="1"/>
    </xf>
    <xf numFmtId="0" fontId="16" fillId="0" borderId="42" xfId="0" applyFont="1" applyBorder="1" applyAlignment="1">
      <alignment horizontal="center" vertical="center" wrapText="1"/>
    </xf>
    <xf numFmtId="0" fontId="16" fillId="0" borderId="41" xfId="0" applyFont="1" applyBorder="1" applyAlignment="1">
      <alignment horizontal="center" vertical="center" wrapText="1"/>
    </xf>
    <xf numFmtId="49" fontId="12" fillId="0" borderId="42" xfId="0" applyNumberFormat="1" applyFont="1" applyBorder="1" applyAlignment="1">
      <alignment horizontal="center" vertical="center" wrapText="1"/>
    </xf>
    <xf numFmtId="49" fontId="12" fillId="0" borderId="41" xfId="0" applyNumberFormat="1" applyFont="1" applyBorder="1" applyAlignment="1">
      <alignment horizontal="center" vertical="center" wrapText="1"/>
    </xf>
    <xf numFmtId="0" fontId="12" fillId="0" borderId="69" xfId="0" applyFont="1" applyBorder="1" applyAlignment="1">
      <alignment horizontal="center" vertical="center" wrapText="1"/>
    </xf>
    <xf numFmtId="0" fontId="12" fillId="0" borderId="41" xfId="0" applyFont="1" applyBorder="1" applyAlignment="1">
      <alignment horizontal="center" vertical="center" wrapText="1"/>
    </xf>
    <xf numFmtId="0" fontId="13" fillId="0" borderId="42" xfId="0" applyFont="1" applyBorder="1" applyAlignment="1">
      <alignment horizontal="center" vertical="center" wrapText="1"/>
    </xf>
    <xf numFmtId="0" fontId="13" fillId="0" borderId="69" xfId="0" applyFont="1" applyBorder="1" applyAlignment="1">
      <alignment horizontal="center" vertical="center" wrapText="1"/>
    </xf>
    <xf numFmtId="0" fontId="13" fillId="0" borderId="41" xfId="0" applyFont="1" applyBorder="1" applyAlignment="1">
      <alignment horizontal="center" vertical="center" wrapText="1"/>
    </xf>
    <xf numFmtId="0" fontId="16" fillId="0" borderId="69" xfId="0" applyFont="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200025</xdr:colOff>
          <xdr:row>0</xdr:row>
          <xdr:rowOff>66675</xdr:rowOff>
        </xdr:from>
        <xdr:to>
          <xdr:col>1</xdr:col>
          <xdr:colOff>495300</xdr:colOff>
          <xdr:row>5</xdr:row>
          <xdr:rowOff>95250</xdr:rowOff>
        </xdr:to>
        <xdr:sp macro="" textlink="">
          <xdr:nvSpPr>
            <xdr:cNvPr id="15361" name="Object 1" hidden="1">
              <a:extLst>
                <a:ext uri="{63B3BB69-23CF-44E3-9099-C40C66FF867C}">
                  <a14:compatExt spid="_x0000_s15361"/>
                </a:ext>
                <a:ext uri="{FF2B5EF4-FFF2-40B4-BE49-F238E27FC236}">
                  <a16:creationId xmlns:a16="http://schemas.microsoft.com/office/drawing/2014/main" xmlns="" id="{00000000-0008-0000-0000-0000013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96"/>
  <sheetViews>
    <sheetView showGridLines="0" tabSelected="1" view="pageBreakPreview" zoomScaleNormal="100" zoomScaleSheetLayoutView="100" workbookViewId="0">
      <selection sqref="A1:B6"/>
    </sheetView>
  </sheetViews>
  <sheetFormatPr baseColWidth="10" defaultColWidth="9" defaultRowHeight="15.75" x14ac:dyDescent="0.25"/>
  <cols>
    <col min="1" max="3" width="9" style="25"/>
    <col min="4" max="4" width="10.5" style="25" customWidth="1"/>
    <col min="5" max="7" width="9" style="25"/>
    <col min="8" max="8" width="11.5" style="25" customWidth="1"/>
    <col min="9" max="9" width="9" style="25"/>
    <col min="10" max="10" width="10.875" style="25" customWidth="1"/>
    <col min="11" max="11" width="11.5" style="25" customWidth="1"/>
    <col min="12" max="12" width="9.5" style="25" customWidth="1"/>
    <col min="13" max="16384" width="9" style="25"/>
  </cols>
  <sheetData>
    <row r="1" spans="1:16" ht="12.75" customHeight="1" x14ac:dyDescent="0.25">
      <c r="A1" s="247"/>
      <c r="B1" s="248"/>
      <c r="C1" s="192"/>
      <c r="D1" s="193"/>
      <c r="E1" s="193"/>
      <c r="F1" s="193"/>
      <c r="G1" s="193"/>
      <c r="H1" s="193"/>
      <c r="I1" s="193"/>
      <c r="J1" s="193"/>
      <c r="K1" s="194"/>
      <c r="L1" s="253" t="s">
        <v>0</v>
      </c>
      <c r="M1" s="254"/>
      <c r="N1" s="254" t="s">
        <v>379</v>
      </c>
      <c r="O1" s="254"/>
      <c r="P1" s="257"/>
    </row>
    <row r="2" spans="1:16" ht="12.75" customHeight="1" x14ac:dyDescent="0.25">
      <c r="A2" s="249"/>
      <c r="B2" s="250"/>
      <c r="C2" s="259" t="s">
        <v>1</v>
      </c>
      <c r="D2" s="260"/>
      <c r="E2" s="260"/>
      <c r="F2" s="260"/>
      <c r="G2" s="260"/>
      <c r="H2" s="260"/>
      <c r="I2" s="260"/>
      <c r="J2" s="260"/>
      <c r="K2" s="261"/>
      <c r="L2" s="255"/>
      <c r="M2" s="256"/>
      <c r="N2" s="256"/>
      <c r="O2" s="256"/>
      <c r="P2" s="258"/>
    </row>
    <row r="3" spans="1:16" ht="12.75" customHeight="1" x14ac:dyDescent="0.25">
      <c r="A3" s="249"/>
      <c r="B3" s="250"/>
      <c r="C3" s="262" t="s">
        <v>378</v>
      </c>
      <c r="D3" s="263"/>
      <c r="E3" s="263"/>
      <c r="F3" s="263"/>
      <c r="G3" s="263"/>
      <c r="H3" s="263"/>
      <c r="I3" s="263"/>
      <c r="J3" s="263"/>
      <c r="K3" s="264"/>
      <c r="L3" s="242" t="s">
        <v>2</v>
      </c>
      <c r="M3" s="243"/>
      <c r="N3" s="267">
        <v>1</v>
      </c>
      <c r="O3" s="268"/>
      <c r="P3" s="269"/>
    </row>
    <row r="4" spans="1:16" ht="12.75" customHeight="1" x14ac:dyDescent="0.25">
      <c r="A4" s="249"/>
      <c r="B4" s="250"/>
      <c r="C4" s="273" t="s">
        <v>3</v>
      </c>
      <c r="D4" s="274"/>
      <c r="E4" s="274"/>
      <c r="F4" s="274"/>
      <c r="G4" s="274"/>
      <c r="H4" s="274"/>
      <c r="I4" s="274"/>
      <c r="J4" s="274"/>
      <c r="K4" s="275"/>
      <c r="L4" s="265"/>
      <c r="M4" s="266"/>
      <c r="N4" s="270"/>
      <c r="O4" s="271"/>
      <c r="P4" s="272"/>
    </row>
    <row r="5" spans="1:16" ht="12.75" customHeight="1" x14ac:dyDescent="0.25">
      <c r="A5" s="249"/>
      <c r="B5" s="250"/>
      <c r="C5" s="276" t="s">
        <v>4</v>
      </c>
      <c r="D5" s="277"/>
      <c r="E5" s="277"/>
      <c r="F5" s="277"/>
      <c r="G5" s="277"/>
      <c r="H5" s="277"/>
      <c r="I5" s="277"/>
      <c r="J5" s="277"/>
      <c r="K5" s="278"/>
      <c r="L5" s="242" t="s">
        <v>5</v>
      </c>
      <c r="M5" s="243"/>
      <c r="N5" s="267"/>
      <c r="O5" s="268"/>
      <c r="P5" s="269"/>
    </row>
    <row r="6" spans="1:16" ht="12.75" customHeight="1" x14ac:dyDescent="0.25">
      <c r="A6" s="251"/>
      <c r="B6" s="252"/>
      <c r="C6" s="26"/>
      <c r="D6" s="27"/>
      <c r="E6" s="27"/>
      <c r="F6" s="27"/>
      <c r="G6" s="27"/>
      <c r="H6" s="27"/>
      <c r="I6" s="27"/>
      <c r="J6" s="27"/>
      <c r="K6" s="28"/>
      <c r="L6" s="244"/>
      <c r="M6" s="245"/>
      <c r="N6" s="279"/>
      <c r="O6" s="280"/>
      <c r="P6" s="281"/>
    </row>
    <row r="7" spans="1:16" x14ac:dyDescent="0.25">
      <c r="A7" s="29"/>
      <c r="B7" s="30"/>
      <c r="C7" s="30"/>
      <c r="D7" s="30"/>
      <c r="E7" s="30"/>
      <c r="F7" s="30"/>
      <c r="G7" s="30"/>
      <c r="H7" s="30"/>
      <c r="I7" s="30"/>
      <c r="J7" s="30"/>
      <c r="K7" s="30"/>
      <c r="L7" s="30"/>
      <c r="M7" s="30"/>
      <c r="N7" s="30"/>
      <c r="O7" s="30"/>
      <c r="P7" s="31"/>
    </row>
    <row r="8" spans="1:16" x14ac:dyDescent="0.25">
      <c r="A8" s="238" t="s">
        <v>6</v>
      </c>
      <c r="B8" s="239"/>
      <c r="C8" s="240"/>
      <c r="D8" s="240"/>
      <c r="E8" s="240"/>
      <c r="F8" s="239" t="s">
        <v>7</v>
      </c>
      <c r="G8" s="239"/>
      <c r="H8" s="239"/>
      <c r="I8" s="32"/>
      <c r="J8" s="32"/>
      <c r="K8" s="33"/>
      <c r="L8" s="239" t="s">
        <v>6</v>
      </c>
      <c r="M8" s="239"/>
      <c r="N8" s="240"/>
      <c r="O8" s="240"/>
      <c r="P8" s="246"/>
    </row>
    <row r="9" spans="1:16" x14ac:dyDescent="0.25">
      <c r="A9" s="29"/>
      <c r="B9" s="30"/>
      <c r="C9" s="30"/>
      <c r="D9" s="30"/>
      <c r="E9" s="30"/>
      <c r="F9" s="30"/>
      <c r="G9" s="30"/>
      <c r="H9" s="30"/>
      <c r="I9" s="30"/>
      <c r="J9" s="30"/>
      <c r="K9" s="30"/>
      <c r="L9" s="30"/>
      <c r="M9" s="30"/>
      <c r="N9" s="30"/>
      <c r="O9" s="30"/>
      <c r="P9" s="31"/>
    </row>
    <row r="10" spans="1:16" x14ac:dyDescent="0.25">
      <c r="A10" s="238" t="s">
        <v>8</v>
      </c>
      <c r="B10" s="239"/>
      <c r="C10" s="32"/>
      <c r="D10" s="34" t="s">
        <v>9</v>
      </c>
      <c r="E10" s="35"/>
      <c r="F10" s="35"/>
      <c r="G10" s="35"/>
      <c r="H10" s="239" t="s">
        <v>10</v>
      </c>
      <c r="I10" s="239"/>
      <c r="J10" s="239"/>
      <c r="K10" s="240"/>
      <c r="L10" s="240"/>
      <c r="M10" s="34" t="s">
        <v>9</v>
      </c>
      <c r="N10" s="35"/>
      <c r="O10" s="35"/>
      <c r="P10" s="36"/>
    </row>
    <row r="11" spans="1:16" x14ac:dyDescent="0.25">
      <c r="A11" s="37"/>
      <c r="B11" s="34"/>
      <c r="C11" s="34"/>
      <c r="D11" s="34"/>
      <c r="E11" s="34" t="s">
        <v>11</v>
      </c>
      <c r="F11" s="34" t="s">
        <v>12</v>
      </c>
      <c r="G11" s="34" t="s">
        <v>13</v>
      </c>
      <c r="H11" s="34"/>
      <c r="I11" s="34"/>
      <c r="J11" s="34"/>
      <c r="K11" s="34"/>
      <c r="L11" s="34"/>
      <c r="M11" s="34"/>
      <c r="N11" s="34" t="s">
        <v>11</v>
      </c>
      <c r="O11" s="34" t="s">
        <v>12</v>
      </c>
      <c r="P11" s="38" t="s">
        <v>13</v>
      </c>
    </row>
    <row r="12" spans="1:16" x14ac:dyDescent="0.25">
      <c r="A12" s="37"/>
      <c r="B12" s="34"/>
      <c r="C12" s="34"/>
      <c r="D12" s="34"/>
      <c r="E12" s="34"/>
      <c r="F12" s="34"/>
      <c r="G12" s="34"/>
      <c r="H12" s="34"/>
      <c r="I12" s="34"/>
      <c r="J12" s="34"/>
      <c r="K12" s="34"/>
      <c r="L12" s="34"/>
      <c r="M12" s="34"/>
      <c r="N12" s="34"/>
      <c r="O12" s="34"/>
      <c r="P12" s="38"/>
    </row>
    <row r="13" spans="1:16" x14ac:dyDescent="0.25">
      <c r="A13" s="39"/>
      <c r="B13" s="30"/>
      <c r="C13" s="30"/>
      <c r="D13" s="30"/>
      <c r="E13" s="30"/>
      <c r="F13" s="30"/>
      <c r="G13" s="30"/>
      <c r="H13" s="30"/>
      <c r="I13" s="30"/>
      <c r="J13" s="30"/>
      <c r="K13" s="30"/>
      <c r="L13" s="30"/>
      <c r="M13" s="30"/>
      <c r="N13" s="30"/>
      <c r="O13" s="34"/>
      <c r="P13" s="38"/>
    </row>
    <row r="14" spans="1:16" x14ac:dyDescent="0.25">
      <c r="A14" s="238" t="s">
        <v>14</v>
      </c>
      <c r="B14" s="239"/>
      <c r="C14" s="35"/>
      <c r="D14" s="34" t="s">
        <v>15</v>
      </c>
      <c r="E14" s="34"/>
      <c r="F14" s="34"/>
      <c r="G14" s="34"/>
      <c r="H14" s="34"/>
      <c r="I14" s="241" t="s">
        <v>16</v>
      </c>
      <c r="J14" s="241"/>
      <c r="K14" s="34"/>
      <c r="L14" s="34"/>
      <c r="M14" s="34"/>
      <c r="N14" s="30"/>
      <c r="O14" s="34"/>
      <c r="P14" s="38"/>
    </row>
    <row r="15" spans="1:16" x14ac:dyDescent="0.25">
      <c r="A15" s="29"/>
      <c r="B15" s="34"/>
      <c r="C15" s="34"/>
      <c r="D15" s="34"/>
      <c r="E15" s="40" t="s">
        <v>11</v>
      </c>
      <c r="F15" s="40" t="s">
        <v>12</v>
      </c>
      <c r="G15" s="40" t="s">
        <v>13</v>
      </c>
      <c r="H15" s="34"/>
      <c r="I15" s="34"/>
      <c r="J15" s="34"/>
      <c r="K15" s="40" t="s">
        <v>11</v>
      </c>
      <c r="L15" s="40" t="s">
        <v>12</v>
      </c>
      <c r="M15" s="40" t="s">
        <v>13</v>
      </c>
      <c r="N15" s="30"/>
      <c r="O15" s="30"/>
      <c r="P15" s="31"/>
    </row>
    <row r="16" spans="1:16" x14ac:dyDescent="0.25">
      <c r="A16" s="29"/>
      <c r="B16" s="34"/>
      <c r="C16" s="34"/>
      <c r="D16" s="34"/>
      <c r="E16" s="34"/>
      <c r="F16" s="34"/>
      <c r="G16" s="34"/>
      <c r="H16" s="34"/>
      <c r="I16" s="34"/>
      <c r="J16" s="34"/>
      <c r="K16" s="34"/>
      <c r="L16" s="34"/>
      <c r="M16" s="34"/>
      <c r="N16" s="30"/>
      <c r="O16" s="30"/>
      <c r="P16" s="31"/>
    </row>
    <row r="17" spans="1:16" x14ac:dyDescent="0.25">
      <c r="A17" s="238" t="s">
        <v>17</v>
      </c>
      <c r="B17" s="239"/>
      <c r="C17" s="41"/>
      <c r="D17" s="34" t="s">
        <v>15</v>
      </c>
      <c r="E17" s="34"/>
      <c r="F17" s="34"/>
      <c r="G17" s="34"/>
      <c r="H17" s="34"/>
      <c r="I17" s="241" t="s">
        <v>16</v>
      </c>
      <c r="J17" s="241"/>
      <c r="K17" s="34"/>
      <c r="L17" s="34"/>
      <c r="M17" s="34"/>
      <c r="N17" s="30"/>
      <c r="O17" s="30"/>
      <c r="P17" s="31"/>
    </row>
    <row r="18" spans="1:16" x14ac:dyDescent="0.25">
      <c r="A18" s="29"/>
      <c r="B18" s="34"/>
      <c r="C18" s="34"/>
      <c r="D18" s="34"/>
      <c r="E18" s="40" t="s">
        <v>11</v>
      </c>
      <c r="F18" s="40" t="s">
        <v>12</v>
      </c>
      <c r="G18" s="40" t="s">
        <v>13</v>
      </c>
      <c r="H18" s="34"/>
      <c r="I18" s="34"/>
      <c r="J18" s="34"/>
      <c r="K18" s="40" t="s">
        <v>11</v>
      </c>
      <c r="L18" s="40" t="s">
        <v>12</v>
      </c>
      <c r="M18" s="40" t="s">
        <v>13</v>
      </c>
      <c r="N18" s="30"/>
      <c r="O18" s="30"/>
      <c r="P18" s="31"/>
    </row>
    <row r="19" spans="1:16" x14ac:dyDescent="0.25">
      <c r="A19" s="29"/>
      <c r="B19" s="34"/>
      <c r="C19" s="34"/>
      <c r="D19" s="34"/>
      <c r="E19" s="34"/>
      <c r="F19" s="34"/>
      <c r="G19" s="34"/>
      <c r="H19" s="34"/>
      <c r="I19" s="34"/>
      <c r="J19" s="34"/>
      <c r="K19" s="34"/>
      <c r="L19" s="34"/>
      <c r="M19" s="34"/>
      <c r="N19" s="30"/>
      <c r="O19" s="30"/>
      <c r="P19" s="31"/>
    </row>
    <row r="20" spans="1:16" x14ac:dyDescent="0.25">
      <c r="A20" s="233" t="s">
        <v>18</v>
      </c>
      <c r="B20" s="234"/>
      <c r="C20" s="235"/>
      <c r="D20" s="42"/>
      <c r="E20" s="43"/>
      <c r="F20" s="43"/>
      <c r="G20" s="43"/>
      <c r="H20" s="43"/>
      <c r="I20" s="43"/>
      <c r="J20" s="43"/>
      <c r="K20" s="43"/>
      <c r="L20" s="43"/>
      <c r="M20" s="43"/>
      <c r="N20" s="43"/>
      <c r="O20" s="43"/>
      <c r="P20" s="44"/>
    </row>
    <row r="21" spans="1:16" x14ac:dyDescent="0.25">
      <c r="A21" s="236" t="s">
        <v>19</v>
      </c>
      <c r="B21" s="237"/>
      <c r="C21" s="237" t="s">
        <v>20</v>
      </c>
      <c r="D21" s="237"/>
      <c r="E21" s="237"/>
      <c r="F21" s="237" t="s">
        <v>21</v>
      </c>
      <c r="G21" s="237"/>
      <c r="H21" s="41"/>
      <c r="I21" s="41"/>
      <c r="J21" s="41"/>
      <c r="K21" s="237" t="s">
        <v>22</v>
      </c>
      <c r="L21" s="237"/>
      <c r="M21" s="237"/>
      <c r="N21" s="237"/>
      <c r="O21" s="191"/>
      <c r="P21" s="221"/>
    </row>
    <row r="22" spans="1:16" x14ac:dyDescent="0.25">
      <c r="A22" s="236"/>
      <c r="B22" s="237"/>
      <c r="C22" s="237"/>
      <c r="D22" s="237"/>
      <c r="E22" s="237"/>
      <c r="F22" s="237"/>
      <c r="G22" s="237"/>
      <c r="H22" s="41" t="s">
        <v>11</v>
      </c>
      <c r="I22" s="41" t="s">
        <v>12</v>
      </c>
      <c r="J22" s="41" t="s">
        <v>13</v>
      </c>
      <c r="K22" s="237"/>
      <c r="L22" s="237"/>
      <c r="M22" s="237"/>
      <c r="N22" s="237"/>
      <c r="O22" s="191"/>
      <c r="P22" s="221"/>
    </row>
    <row r="23" spans="1:16" x14ac:dyDescent="0.25">
      <c r="A23" s="222"/>
      <c r="B23" s="223"/>
      <c r="C23" s="223"/>
      <c r="D23" s="223"/>
      <c r="E23" s="223"/>
      <c r="F23" s="223"/>
      <c r="G23" s="223"/>
      <c r="H23" s="223"/>
      <c r="I23" s="223"/>
      <c r="J23" s="223"/>
      <c r="K23" s="223"/>
      <c r="L23" s="223"/>
      <c r="M23" s="223"/>
      <c r="N23" s="223"/>
      <c r="O23" s="223"/>
      <c r="P23" s="224"/>
    </row>
    <row r="24" spans="1:16" x14ac:dyDescent="0.25">
      <c r="A24" s="211" t="s">
        <v>23</v>
      </c>
      <c r="B24" s="212"/>
      <c r="C24" s="212"/>
      <c r="D24" s="212"/>
      <c r="E24" s="212"/>
      <c r="F24" s="212"/>
      <c r="G24" s="212"/>
      <c r="H24" s="212"/>
      <c r="I24" s="212"/>
      <c r="J24" s="212"/>
      <c r="K24" s="212"/>
      <c r="L24" s="212"/>
      <c r="M24" s="212"/>
      <c r="N24" s="212"/>
      <c r="O24" s="212"/>
      <c r="P24" s="213"/>
    </row>
    <row r="25" spans="1:16" x14ac:dyDescent="0.25">
      <c r="A25" s="225"/>
      <c r="B25" s="226"/>
      <c r="C25" s="226"/>
      <c r="D25" s="226"/>
      <c r="E25" s="226"/>
      <c r="F25" s="226"/>
      <c r="G25" s="226"/>
      <c r="H25" s="226"/>
      <c r="I25" s="226"/>
      <c r="J25" s="226"/>
      <c r="K25" s="226"/>
      <c r="L25" s="226"/>
      <c r="M25" s="226"/>
      <c r="N25" s="226"/>
      <c r="O25" s="226"/>
      <c r="P25" s="227"/>
    </row>
    <row r="26" spans="1:16" x14ac:dyDescent="0.25">
      <c r="A26" s="228" t="s">
        <v>24</v>
      </c>
      <c r="B26" s="229"/>
      <c r="C26" s="229"/>
      <c r="D26" s="229"/>
      <c r="E26" s="229"/>
      <c r="F26" s="229"/>
      <c r="G26" s="229" t="s">
        <v>25</v>
      </c>
      <c r="H26" s="229"/>
      <c r="I26" s="229"/>
      <c r="J26" s="229"/>
      <c r="K26" s="229"/>
      <c r="L26" s="230" t="s">
        <v>26</v>
      </c>
      <c r="M26" s="230"/>
      <c r="N26" s="230"/>
      <c r="O26" s="231"/>
      <c r="P26" s="232"/>
    </row>
    <row r="27" spans="1:16" x14ac:dyDescent="0.25">
      <c r="A27" s="214" t="s">
        <v>27</v>
      </c>
      <c r="B27" s="215"/>
      <c r="C27" s="215"/>
      <c r="D27" s="215"/>
      <c r="E27" s="215"/>
      <c r="F27" s="215"/>
      <c r="G27" s="215" t="s">
        <v>28</v>
      </c>
      <c r="H27" s="215"/>
      <c r="I27" s="215"/>
      <c r="J27" s="216"/>
      <c r="K27" s="216"/>
      <c r="L27" s="220" t="s">
        <v>29</v>
      </c>
      <c r="M27" s="220"/>
      <c r="N27" s="220"/>
      <c r="O27" s="218"/>
      <c r="P27" s="219"/>
    </row>
    <row r="28" spans="1:16" x14ac:dyDescent="0.25">
      <c r="A28" s="214" t="s">
        <v>30</v>
      </c>
      <c r="B28" s="215"/>
      <c r="C28" s="215"/>
      <c r="D28" s="215"/>
      <c r="E28" s="215"/>
      <c r="F28" s="215"/>
      <c r="G28" s="215" t="s">
        <v>31</v>
      </c>
      <c r="H28" s="215"/>
      <c r="I28" s="215"/>
      <c r="J28" s="216"/>
      <c r="K28" s="216"/>
      <c r="L28" s="217" t="s">
        <v>32</v>
      </c>
      <c r="M28" s="217"/>
      <c r="N28" s="217"/>
      <c r="O28" s="218"/>
      <c r="P28" s="219"/>
    </row>
    <row r="29" spans="1:16" x14ac:dyDescent="0.25">
      <c r="A29" s="214" t="s">
        <v>31</v>
      </c>
      <c r="B29" s="215"/>
      <c r="C29" s="215"/>
      <c r="D29" s="215"/>
      <c r="E29" s="215"/>
      <c r="F29" s="215"/>
      <c r="G29" s="215" t="s">
        <v>33</v>
      </c>
      <c r="H29" s="215"/>
      <c r="I29" s="215"/>
      <c r="J29" s="216"/>
      <c r="K29" s="216"/>
      <c r="L29" s="217" t="s">
        <v>34</v>
      </c>
      <c r="M29" s="217"/>
      <c r="N29" s="217"/>
      <c r="O29" s="218"/>
      <c r="P29" s="219"/>
    </row>
    <row r="30" spans="1:16" x14ac:dyDescent="0.25">
      <c r="A30" s="214" t="s">
        <v>33</v>
      </c>
      <c r="B30" s="215"/>
      <c r="C30" s="215"/>
      <c r="D30" s="215"/>
      <c r="E30" s="215"/>
      <c r="F30" s="215"/>
      <c r="G30" s="215" t="s">
        <v>35</v>
      </c>
      <c r="H30" s="215"/>
      <c r="I30" s="215"/>
      <c r="J30" s="216"/>
      <c r="K30" s="216"/>
      <c r="L30" s="217" t="s">
        <v>36</v>
      </c>
      <c r="M30" s="217"/>
      <c r="N30" s="217"/>
      <c r="O30" s="218"/>
      <c r="P30" s="219"/>
    </row>
    <row r="31" spans="1:16" x14ac:dyDescent="0.25">
      <c r="A31" s="214" t="s">
        <v>35</v>
      </c>
      <c r="B31" s="215"/>
      <c r="C31" s="215"/>
      <c r="D31" s="215"/>
      <c r="E31" s="215"/>
      <c r="F31" s="215"/>
      <c r="G31" s="215" t="s">
        <v>33</v>
      </c>
      <c r="H31" s="215"/>
      <c r="I31" s="215"/>
      <c r="J31" s="216"/>
      <c r="K31" s="216"/>
      <c r="L31" s="220" t="s">
        <v>37</v>
      </c>
      <c r="M31" s="220"/>
      <c r="N31" s="220"/>
      <c r="O31" s="218"/>
      <c r="P31" s="219"/>
    </row>
    <row r="32" spans="1:16" x14ac:dyDescent="0.25">
      <c r="A32" s="214" t="s">
        <v>33</v>
      </c>
      <c r="B32" s="215"/>
      <c r="C32" s="215"/>
      <c r="D32" s="215"/>
      <c r="E32" s="215"/>
      <c r="F32" s="215"/>
      <c r="G32" s="215" t="s">
        <v>38</v>
      </c>
      <c r="H32" s="215"/>
      <c r="I32" s="215"/>
      <c r="J32" s="216"/>
      <c r="K32" s="216"/>
      <c r="L32" s="217" t="s">
        <v>39</v>
      </c>
      <c r="M32" s="217"/>
      <c r="N32" s="217"/>
      <c r="O32" s="218"/>
      <c r="P32" s="219"/>
    </row>
    <row r="33" spans="1:16" x14ac:dyDescent="0.25">
      <c r="A33" s="214" t="s">
        <v>38</v>
      </c>
      <c r="B33" s="215"/>
      <c r="C33" s="215"/>
      <c r="D33" s="215"/>
      <c r="E33" s="215"/>
      <c r="F33" s="215"/>
      <c r="G33" s="215" t="s">
        <v>40</v>
      </c>
      <c r="H33" s="215"/>
      <c r="I33" s="215"/>
      <c r="J33" s="216"/>
      <c r="K33" s="216"/>
      <c r="L33" s="217" t="s">
        <v>41</v>
      </c>
      <c r="M33" s="217"/>
      <c r="N33" s="217"/>
      <c r="O33" s="218"/>
      <c r="P33" s="219"/>
    </row>
    <row r="34" spans="1:16" x14ac:dyDescent="0.25">
      <c r="A34" s="214" t="s">
        <v>40</v>
      </c>
      <c r="B34" s="215"/>
      <c r="C34" s="215"/>
      <c r="D34" s="215"/>
      <c r="E34" s="215"/>
      <c r="F34" s="215"/>
      <c r="G34" s="215" t="s">
        <v>42</v>
      </c>
      <c r="H34" s="215"/>
      <c r="I34" s="215"/>
      <c r="J34" s="216"/>
      <c r="K34" s="216"/>
      <c r="L34" s="217" t="s">
        <v>43</v>
      </c>
      <c r="M34" s="217"/>
      <c r="N34" s="217"/>
      <c r="O34" s="218"/>
      <c r="P34" s="219"/>
    </row>
    <row r="35" spans="1:16" x14ac:dyDescent="0.25">
      <c r="A35" s="214" t="s">
        <v>42</v>
      </c>
      <c r="B35" s="215"/>
      <c r="C35" s="215"/>
      <c r="D35" s="215"/>
      <c r="E35" s="215"/>
      <c r="F35" s="215"/>
      <c r="G35" s="215" t="s">
        <v>44</v>
      </c>
      <c r="H35" s="215"/>
      <c r="I35" s="215"/>
      <c r="J35" s="216"/>
      <c r="K35" s="216"/>
      <c r="L35" s="220" t="s">
        <v>45</v>
      </c>
      <c r="M35" s="220"/>
      <c r="N35" s="220"/>
      <c r="O35" s="218"/>
      <c r="P35" s="219"/>
    </row>
    <row r="36" spans="1:16" x14ac:dyDescent="0.25">
      <c r="A36" s="214" t="s">
        <v>44</v>
      </c>
      <c r="B36" s="215"/>
      <c r="C36" s="215"/>
      <c r="D36" s="215"/>
      <c r="E36" s="215"/>
      <c r="F36" s="215"/>
      <c r="G36" s="215" t="s">
        <v>46</v>
      </c>
      <c r="H36" s="215"/>
      <c r="I36" s="215"/>
      <c r="J36" s="216"/>
      <c r="K36" s="216"/>
      <c r="L36" s="217" t="s">
        <v>39</v>
      </c>
      <c r="M36" s="217"/>
      <c r="N36" s="217"/>
      <c r="O36" s="218"/>
      <c r="P36" s="219"/>
    </row>
    <row r="37" spans="1:16" x14ac:dyDescent="0.25">
      <c r="A37" s="214" t="s">
        <v>46</v>
      </c>
      <c r="B37" s="215"/>
      <c r="C37" s="215"/>
      <c r="D37" s="215"/>
      <c r="E37" s="215"/>
      <c r="F37" s="215"/>
      <c r="G37" s="215" t="s">
        <v>47</v>
      </c>
      <c r="H37" s="215"/>
      <c r="I37" s="215"/>
      <c r="J37" s="216"/>
      <c r="K37" s="216"/>
      <c r="L37" s="217" t="s">
        <v>41</v>
      </c>
      <c r="M37" s="217"/>
      <c r="N37" s="217"/>
      <c r="O37" s="218"/>
      <c r="P37" s="219"/>
    </row>
    <row r="38" spans="1:16" ht="26.25" customHeight="1" x14ac:dyDescent="0.25">
      <c r="A38" s="214" t="s">
        <v>47</v>
      </c>
      <c r="B38" s="215"/>
      <c r="C38" s="215"/>
      <c r="D38" s="215"/>
      <c r="E38" s="215"/>
      <c r="F38" s="215"/>
      <c r="G38" s="215" t="s">
        <v>48</v>
      </c>
      <c r="H38" s="215"/>
      <c r="I38" s="215"/>
      <c r="J38" s="216"/>
      <c r="K38" s="216"/>
      <c r="L38" s="217" t="s">
        <v>43</v>
      </c>
      <c r="M38" s="217"/>
      <c r="N38" s="217"/>
      <c r="O38" s="218"/>
      <c r="P38" s="219"/>
    </row>
    <row r="39" spans="1:16" x14ac:dyDescent="0.25">
      <c r="A39" s="214" t="s">
        <v>48</v>
      </c>
      <c r="B39" s="215"/>
      <c r="C39" s="215"/>
      <c r="D39" s="215"/>
      <c r="E39" s="215"/>
      <c r="F39" s="215"/>
      <c r="G39" s="215" t="s">
        <v>49</v>
      </c>
      <c r="H39" s="215"/>
      <c r="I39" s="215"/>
      <c r="J39" s="216"/>
      <c r="K39" s="216"/>
      <c r="L39" s="220" t="s">
        <v>50</v>
      </c>
      <c r="M39" s="220"/>
      <c r="N39" s="220"/>
      <c r="O39" s="218"/>
      <c r="P39" s="219"/>
    </row>
    <row r="40" spans="1:16" x14ac:dyDescent="0.25">
      <c r="A40" s="214" t="s">
        <v>49</v>
      </c>
      <c r="B40" s="215"/>
      <c r="C40" s="215"/>
      <c r="D40" s="215"/>
      <c r="E40" s="215"/>
      <c r="F40" s="215"/>
      <c r="G40" s="215" t="s">
        <v>41</v>
      </c>
      <c r="H40" s="215"/>
      <c r="I40" s="215"/>
      <c r="J40" s="216"/>
      <c r="K40" s="216"/>
      <c r="L40" s="217" t="s">
        <v>39</v>
      </c>
      <c r="M40" s="217"/>
      <c r="N40" s="217"/>
      <c r="O40" s="218"/>
      <c r="P40" s="219"/>
    </row>
    <row r="41" spans="1:16" x14ac:dyDescent="0.25">
      <c r="A41" s="214" t="s">
        <v>41</v>
      </c>
      <c r="B41" s="215"/>
      <c r="C41" s="215"/>
      <c r="D41" s="215"/>
      <c r="E41" s="215"/>
      <c r="F41" s="215"/>
      <c r="G41" s="216"/>
      <c r="H41" s="216"/>
      <c r="I41" s="216"/>
      <c r="J41" s="216"/>
      <c r="K41" s="216"/>
      <c r="L41" s="217" t="s">
        <v>41</v>
      </c>
      <c r="M41" s="217"/>
      <c r="N41" s="217"/>
      <c r="O41" s="218"/>
      <c r="P41" s="219"/>
    </row>
    <row r="42" spans="1:16" x14ac:dyDescent="0.25">
      <c r="A42" s="205"/>
      <c r="B42" s="206"/>
      <c r="C42" s="206"/>
      <c r="D42" s="206"/>
      <c r="E42" s="206"/>
      <c r="F42" s="206"/>
      <c r="G42" s="206"/>
      <c r="H42" s="206"/>
      <c r="I42" s="206"/>
      <c r="J42" s="206"/>
      <c r="K42" s="207"/>
      <c r="L42" s="208" t="s">
        <v>43</v>
      </c>
      <c r="M42" s="208"/>
      <c r="N42" s="208"/>
      <c r="O42" s="209"/>
      <c r="P42" s="210"/>
    </row>
    <row r="43" spans="1:16" x14ac:dyDescent="0.25">
      <c r="A43" s="45"/>
      <c r="B43" s="45"/>
      <c r="C43" s="45"/>
      <c r="D43" s="45"/>
      <c r="E43" s="45"/>
      <c r="F43" s="45"/>
      <c r="G43" s="45"/>
      <c r="H43" s="45"/>
      <c r="I43" s="45"/>
      <c r="J43" s="45"/>
      <c r="K43" s="45"/>
      <c r="L43" s="46"/>
      <c r="M43" s="46"/>
      <c r="N43" s="46"/>
      <c r="O43" s="47"/>
      <c r="P43" s="47"/>
    </row>
    <row r="44" spans="1:16" x14ac:dyDescent="0.25">
      <c r="A44" s="211" t="s">
        <v>51</v>
      </c>
      <c r="B44" s="212"/>
      <c r="C44" s="212"/>
      <c r="D44" s="212"/>
      <c r="E44" s="212"/>
      <c r="F44" s="212"/>
      <c r="G44" s="212"/>
      <c r="H44" s="212"/>
      <c r="I44" s="212"/>
      <c r="J44" s="212"/>
      <c r="K44" s="212"/>
      <c r="L44" s="212"/>
      <c r="M44" s="212"/>
      <c r="N44" s="212"/>
      <c r="O44" s="212"/>
      <c r="P44" s="213"/>
    </row>
    <row r="45" spans="1:16" x14ac:dyDescent="0.25">
      <c r="A45" s="192" t="s">
        <v>52</v>
      </c>
      <c r="B45" s="193"/>
      <c r="C45" s="212"/>
      <c r="D45" s="212"/>
      <c r="E45" s="212"/>
      <c r="F45" s="212"/>
      <c r="G45" s="212"/>
      <c r="H45" s="212"/>
      <c r="I45" s="212"/>
      <c r="J45" s="212"/>
      <c r="K45" s="212"/>
      <c r="L45" s="212"/>
      <c r="M45" s="212"/>
      <c r="N45" s="212"/>
      <c r="O45" s="212"/>
      <c r="P45" s="213"/>
    </row>
    <row r="46" spans="1:16" ht="25.5" x14ac:dyDescent="0.25">
      <c r="A46" s="48" t="s">
        <v>53</v>
      </c>
      <c r="B46" s="49" t="s">
        <v>39</v>
      </c>
      <c r="C46" s="50" t="s">
        <v>54</v>
      </c>
      <c r="D46" s="203" t="s">
        <v>55</v>
      </c>
      <c r="E46" s="203"/>
      <c r="F46" s="203" t="s">
        <v>56</v>
      </c>
      <c r="G46" s="203"/>
      <c r="H46" s="203" t="s">
        <v>57</v>
      </c>
      <c r="I46" s="203"/>
      <c r="J46" s="203" t="s">
        <v>58</v>
      </c>
      <c r="K46" s="203"/>
      <c r="L46" s="51" t="s">
        <v>59</v>
      </c>
      <c r="M46" s="203" t="s">
        <v>41</v>
      </c>
      <c r="N46" s="203"/>
      <c r="O46" s="203" t="s">
        <v>43</v>
      </c>
      <c r="P46" s="204"/>
    </row>
    <row r="47" spans="1:16" x14ac:dyDescent="0.25">
      <c r="A47" s="52"/>
      <c r="B47" s="52"/>
      <c r="C47" s="53"/>
      <c r="D47" s="166"/>
      <c r="E47" s="165"/>
      <c r="F47" s="166"/>
      <c r="G47" s="165"/>
      <c r="H47" s="166"/>
      <c r="I47" s="165"/>
      <c r="J47" s="166"/>
      <c r="K47" s="165"/>
      <c r="L47" s="53"/>
      <c r="M47" s="166"/>
      <c r="N47" s="165"/>
      <c r="O47" s="166"/>
      <c r="P47" s="165"/>
    </row>
    <row r="48" spans="1:16" x14ac:dyDescent="0.25">
      <c r="A48" s="54"/>
      <c r="B48" s="54"/>
      <c r="C48" s="55"/>
      <c r="D48" s="133"/>
      <c r="E48" s="133"/>
      <c r="F48" s="133"/>
      <c r="G48" s="133"/>
      <c r="H48" s="133"/>
      <c r="I48" s="133"/>
      <c r="J48" s="133"/>
      <c r="K48" s="133"/>
      <c r="L48" s="55"/>
      <c r="M48" s="133"/>
      <c r="N48" s="133"/>
      <c r="O48" s="133"/>
      <c r="P48" s="133"/>
    </row>
    <row r="49" spans="1:16" x14ac:dyDescent="0.25">
      <c r="A49" s="200" t="s">
        <v>60</v>
      </c>
      <c r="B49" s="201"/>
      <c r="C49" s="201"/>
      <c r="D49" s="201"/>
      <c r="E49" s="201"/>
      <c r="F49" s="201"/>
      <c r="G49" s="201"/>
      <c r="H49" s="201"/>
      <c r="I49" s="201"/>
      <c r="J49" s="201"/>
      <c r="K49" s="201"/>
      <c r="L49" s="201"/>
      <c r="M49" s="201"/>
      <c r="N49" s="201"/>
      <c r="O49" s="201"/>
      <c r="P49" s="202"/>
    </row>
    <row r="50" spans="1:16" ht="25.5" x14ac:dyDescent="0.25">
      <c r="A50" s="56" t="s">
        <v>53</v>
      </c>
      <c r="B50" s="57" t="s">
        <v>39</v>
      </c>
      <c r="C50" s="58" t="s">
        <v>54</v>
      </c>
      <c r="D50" s="188" t="s">
        <v>55</v>
      </c>
      <c r="E50" s="188"/>
      <c r="F50" s="188" t="s">
        <v>56</v>
      </c>
      <c r="G50" s="188"/>
      <c r="H50" s="188" t="s">
        <v>57</v>
      </c>
      <c r="I50" s="188"/>
      <c r="J50" s="188" t="s">
        <v>58</v>
      </c>
      <c r="K50" s="188"/>
      <c r="L50" s="59" t="s">
        <v>59</v>
      </c>
      <c r="M50" s="188" t="s">
        <v>41</v>
      </c>
      <c r="N50" s="188"/>
      <c r="O50" s="188" t="s">
        <v>43</v>
      </c>
      <c r="P50" s="189"/>
    </row>
    <row r="51" spans="1:16" x14ac:dyDescent="0.25">
      <c r="A51" s="60"/>
      <c r="B51" s="60"/>
      <c r="C51" s="61"/>
      <c r="D51" s="199"/>
      <c r="E51" s="199"/>
      <c r="F51" s="199"/>
      <c r="G51" s="199"/>
      <c r="H51" s="199"/>
      <c r="I51" s="199"/>
      <c r="J51" s="199"/>
      <c r="K51" s="199"/>
      <c r="L51" s="61"/>
      <c r="M51" s="199"/>
      <c r="N51" s="199"/>
      <c r="O51" s="199"/>
      <c r="P51" s="199"/>
    </row>
    <row r="52" spans="1:16" x14ac:dyDescent="0.25">
      <c r="A52" s="52"/>
      <c r="B52" s="52"/>
      <c r="C52" s="53"/>
      <c r="D52" s="107"/>
      <c r="E52" s="107"/>
      <c r="F52" s="107"/>
      <c r="G52" s="107"/>
      <c r="H52" s="107"/>
      <c r="I52" s="107"/>
      <c r="J52" s="107"/>
      <c r="K52" s="107"/>
      <c r="L52" s="53"/>
      <c r="M52" s="107"/>
      <c r="N52" s="107"/>
      <c r="O52" s="107"/>
      <c r="P52" s="107"/>
    </row>
    <row r="53" spans="1:16" x14ac:dyDescent="0.25">
      <c r="A53" s="52"/>
      <c r="B53" s="52"/>
      <c r="C53" s="53"/>
      <c r="D53" s="107"/>
      <c r="E53" s="107"/>
      <c r="F53" s="107"/>
      <c r="G53" s="107"/>
      <c r="H53" s="107"/>
      <c r="I53" s="107"/>
      <c r="J53" s="107"/>
      <c r="K53" s="107"/>
      <c r="L53" s="53"/>
      <c r="M53" s="107"/>
      <c r="N53" s="107"/>
      <c r="O53" s="107"/>
      <c r="P53" s="107"/>
    </row>
    <row r="54" spans="1:16" x14ac:dyDescent="0.25">
      <c r="A54" s="45"/>
      <c r="B54" s="45"/>
      <c r="C54" s="45"/>
      <c r="D54" s="45"/>
      <c r="E54" s="45"/>
      <c r="F54" s="45"/>
      <c r="G54" s="45"/>
      <c r="H54" s="45"/>
      <c r="I54" s="45"/>
      <c r="J54" s="45"/>
      <c r="K54" s="45"/>
      <c r="L54" s="45"/>
      <c r="M54" s="45"/>
      <c r="N54" s="45"/>
      <c r="O54" s="45"/>
      <c r="P54" s="45"/>
    </row>
    <row r="55" spans="1:16" x14ac:dyDescent="0.25">
      <c r="A55" s="192" t="s">
        <v>61</v>
      </c>
      <c r="B55" s="193"/>
      <c r="C55" s="193"/>
      <c r="D55" s="193"/>
      <c r="E55" s="193"/>
      <c r="F55" s="193"/>
      <c r="G55" s="193"/>
      <c r="H55" s="193"/>
      <c r="I55" s="193"/>
      <c r="J55" s="193"/>
      <c r="K55" s="193"/>
      <c r="L55" s="193"/>
      <c r="M55" s="193"/>
      <c r="N55" s="193"/>
      <c r="O55" s="193"/>
      <c r="P55" s="194"/>
    </row>
    <row r="56" spans="1:16" x14ac:dyDescent="0.25">
      <c r="A56" s="195" t="s">
        <v>62</v>
      </c>
      <c r="B56" s="196"/>
      <c r="C56" s="196"/>
      <c r="D56" s="196"/>
      <c r="E56" s="197"/>
      <c r="F56" s="197"/>
      <c r="G56" s="197"/>
      <c r="H56" s="197"/>
      <c r="I56" s="197"/>
      <c r="J56" s="197"/>
      <c r="K56" s="197"/>
      <c r="L56" s="197"/>
      <c r="M56" s="197"/>
      <c r="N56" s="197"/>
      <c r="O56" s="197"/>
      <c r="P56" s="198"/>
    </row>
    <row r="57" spans="1:16" x14ac:dyDescent="0.25">
      <c r="A57" s="190" t="s">
        <v>63</v>
      </c>
      <c r="B57" s="191"/>
      <c r="C57" s="191"/>
      <c r="D57" s="191"/>
      <c r="E57" s="133"/>
      <c r="F57" s="133"/>
      <c r="G57" s="133"/>
      <c r="H57" s="133"/>
      <c r="I57" s="133"/>
      <c r="J57" s="133"/>
      <c r="K57" s="133"/>
      <c r="L57" s="133"/>
      <c r="M57" s="133"/>
      <c r="N57" s="133"/>
      <c r="O57" s="133"/>
      <c r="P57" s="158"/>
    </row>
    <row r="58" spans="1:16" x14ac:dyDescent="0.25">
      <c r="A58" s="190" t="s">
        <v>64</v>
      </c>
      <c r="B58" s="191"/>
      <c r="C58" s="191"/>
      <c r="D58" s="191"/>
      <c r="E58" s="133"/>
      <c r="F58" s="133"/>
      <c r="G58" s="133"/>
      <c r="H58" s="133"/>
      <c r="I58" s="133"/>
      <c r="J58" s="133"/>
      <c r="K58" s="133"/>
      <c r="L58" s="133"/>
      <c r="M58" s="133"/>
      <c r="N58" s="133"/>
      <c r="O58" s="133"/>
      <c r="P58" s="158"/>
    </row>
    <row r="59" spans="1:16" x14ac:dyDescent="0.25">
      <c r="A59" s="190" t="s">
        <v>65</v>
      </c>
      <c r="B59" s="191"/>
      <c r="C59" s="191"/>
      <c r="D59" s="191"/>
      <c r="E59" s="133"/>
      <c r="F59" s="133"/>
      <c r="G59" s="133"/>
      <c r="H59" s="133"/>
      <c r="I59" s="133"/>
      <c r="J59" s="133"/>
      <c r="K59" s="133"/>
      <c r="L59" s="133"/>
      <c r="M59" s="133"/>
      <c r="N59" s="133"/>
      <c r="O59" s="133"/>
      <c r="P59" s="158"/>
    </row>
    <row r="60" spans="1:16" x14ac:dyDescent="0.25">
      <c r="A60" s="190" t="s">
        <v>66</v>
      </c>
      <c r="B60" s="191"/>
      <c r="C60" s="191"/>
      <c r="D60" s="191"/>
      <c r="E60" s="133"/>
      <c r="F60" s="133"/>
      <c r="G60" s="133"/>
      <c r="H60" s="133"/>
      <c r="I60" s="133"/>
      <c r="J60" s="133"/>
      <c r="K60" s="133"/>
      <c r="L60" s="133"/>
      <c r="M60" s="133"/>
      <c r="N60" s="133"/>
      <c r="O60" s="133"/>
      <c r="P60" s="158"/>
    </row>
    <row r="61" spans="1:16" x14ac:dyDescent="0.25">
      <c r="A61" s="190" t="s">
        <v>67</v>
      </c>
      <c r="B61" s="191"/>
      <c r="C61" s="191"/>
      <c r="D61" s="191"/>
      <c r="E61" s="133"/>
      <c r="F61" s="133"/>
      <c r="G61" s="133"/>
      <c r="H61" s="133"/>
      <c r="I61" s="133"/>
      <c r="J61" s="133"/>
      <c r="K61" s="133"/>
      <c r="L61" s="133"/>
      <c r="M61" s="133"/>
      <c r="N61" s="133"/>
      <c r="O61" s="133"/>
      <c r="P61" s="158"/>
    </row>
    <row r="62" spans="1:16" x14ac:dyDescent="0.25">
      <c r="A62" s="185" t="s">
        <v>68</v>
      </c>
      <c r="B62" s="186"/>
      <c r="C62" s="186"/>
      <c r="D62" s="186"/>
      <c r="E62" s="146"/>
      <c r="F62" s="146"/>
      <c r="G62" s="146"/>
      <c r="H62" s="146"/>
      <c r="I62" s="146"/>
      <c r="J62" s="146"/>
      <c r="K62" s="146"/>
      <c r="L62" s="146"/>
      <c r="M62" s="146"/>
      <c r="N62" s="146"/>
      <c r="O62" s="146"/>
      <c r="P62" s="147"/>
    </row>
    <row r="63" spans="1:16" x14ac:dyDescent="0.25">
      <c r="A63" s="185" t="s">
        <v>69</v>
      </c>
      <c r="B63" s="186"/>
      <c r="C63" s="186"/>
      <c r="D63" s="186"/>
      <c r="E63" s="146"/>
      <c r="F63" s="146"/>
      <c r="G63" s="146"/>
      <c r="H63" s="146"/>
      <c r="I63" s="146"/>
      <c r="J63" s="146"/>
      <c r="K63" s="146"/>
      <c r="L63" s="146"/>
      <c r="M63" s="146"/>
      <c r="N63" s="146"/>
      <c r="O63" s="146"/>
      <c r="P63" s="147"/>
    </row>
    <row r="64" spans="1:16" x14ac:dyDescent="0.25">
      <c r="A64" s="30"/>
      <c r="B64" s="30"/>
      <c r="C64" s="30"/>
      <c r="D64" s="30"/>
      <c r="E64" s="30"/>
      <c r="F64" s="30"/>
      <c r="G64" s="30"/>
      <c r="H64" s="30"/>
      <c r="I64" s="30"/>
      <c r="J64" s="30"/>
      <c r="K64" s="30"/>
      <c r="L64" s="30"/>
      <c r="M64" s="30"/>
      <c r="N64" s="30"/>
      <c r="O64" s="30"/>
      <c r="P64" s="30"/>
    </row>
    <row r="65" spans="1:16" x14ac:dyDescent="0.25">
      <c r="A65" s="161" t="s">
        <v>70</v>
      </c>
      <c r="B65" s="162"/>
      <c r="C65" s="162"/>
      <c r="D65" s="162"/>
      <c r="E65" s="162"/>
      <c r="F65" s="162"/>
      <c r="G65" s="162"/>
      <c r="H65" s="162"/>
      <c r="I65" s="162"/>
      <c r="J65" s="162"/>
      <c r="K65" s="162"/>
      <c r="L65" s="162"/>
      <c r="M65" s="162"/>
      <c r="N65" s="162"/>
      <c r="O65" s="162"/>
      <c r="P65" s="163"/>
    </row>
    <row r="66" spans="1:16" x14ac:dyDescent="0.25">
      <c r="A66" s="187" t="s">
        <v>71</v>
      </c>
      <c r="B66" s="188"/>
      <c r="C66" s="187" t="s">
        <v>72</v>
      </c>
      <c r="D66" s="188"/>
      <c r="E66" s="187" t="s">
        <v>73</v>
      </c>
      <c r="F66" s="188"/>
      <c r="G66" s="187" t="s">
        <v>74</v>
      </c>
      <c r="H66" s="188"/>
      <c r="I66" s="187" t="s">
        <v>75</v>
      </c>
      <c r="J66" s="188"/>
      <c r="K66" s="187" t="s">
        <v>76</v>
      </c>
      <c r="L66" s="188"/>
      <c r="M66" s="187" t="s">
        <v>77</v>
      </c>
      <c r="N66" s="188"/>
      <c r="O66" s="187" t="s">
        <v>78</v>
      </c>
      <c r="P66" s="189"/>
    </row>
    <row r="67" spans="1:16" ht="30" customHeight="1" x14ac:dyDescent="0.25">
      <c r="A67" s="132"/>
      <c r="B67" s="133"/>
      <c r="C67" s="133"/>
      <c r="D67" s="133"/>
      <c r="E67" s="133" t="s">
        <v>79</v>
      </c>
      <c r="F67" s="133"/>
      <c r="G67" s="133" t="s">
        <v>80</v>
      </c>
      <c r="H67" s="133"/>
      <c r="I67" s="133"/>
      <c r="J67" s="133"/>
      <c r="K67" s="133"/>
      <c r="L67" s="133"/>
      <c r="M67" s="133" t="s">
        <v>81</v>
      </c>
      <c r="N67" s="133"/>
      <c r="O67" s="133"/>
      <c r="P67" s="158"/>
    </row>
    <row r="68" spans="1:16" ht="30" customHeight="1" x14ac:dyDescent="0.25">
      <c r="A68" s="132"/>
      <c r="B68" s="133"/>
      <c r="C68" s="133"/>
      <c r="D68" s="133"/>
      <c r="E68" s="133" t="s">
        <v>79</v>
      </c>
      <c r="F68" s="133"/>
      <c r="G68" s="133" t="s">
        <v>80</v>
      </c>
      <c r="H68" s="133"/>
      <c r="I68" s="133"/>
      <c r="J68" s="133"/>
      <c r="K68" s="133"/>
      <c r="L68" s="133"/>
      <c r="M68" s="133" t="s">
        <v>82</v>
      </c>
      <c r="N68" s="133"/>
      <c r="O68" s="133"/>
      <c r="P68" s="158"/>
    </row>
    <row r="69" spans="1:16" ht="30" customHeight="1" x14ac:dyDescent="0.25">
      <c r="A69" s="173"/>
      <c r="B69" s="146"/>
      <c r="C69" s="146"/>
      <c r="D69" s="146"/>
      <c r="E69" s="146" t="s">
        <v>79</v>
      </c>
      <c r="F69" s="146"/>
      <c r="G69" s="146" t="s">
        <v>80</v>
      </c>
      <c r="H69" s="146"/>
      <c r="I69" s="146"/>
      <c r="J69" s="146"/>
      <c r="K69" s="146"/>
      <c r="L69" s="146"/>
      <c r="M69" s="146" t="s">
        <v>83</v>
      </c>
      <c r="N69" s="146"/>
      <c r="O69" s="146"/>
      <c r="P69" s="147"/>
    </row>
    <row r="70" spans="1:16" x14ac:dyDescent="0.25">
      <c r="A70" s="30"/>
      <c r="B70" s="30"/>
      <c r="C70" s="30"/>
      <c r="D70" s="30"/>
      <c r="E70" s="30"/>
      <c r="F70" s="30"/>
      <c r="G70" s="30"/>
      <c r="H70" s="30"/>
      <c r="I70" s="30"/>
      <c r="J70" s="30"/>
      <c r="K70" s="30"/>
      <c r="L70" s="30"/>
      <c r="M70" s="30"/>
      <c r="N70" s="30"/>
      <c r="O70" s="30"/>
      <c r="P70" s="30"/>
    </row>
    <row r="71" spans="1:16" x14ac:dyDescent="0.25">
      <c r="A71" s="178" t="s">
        <v>84</v>
      </c>
      <c r="B71" s="179"/>
      <c r="C71" s="179"/>
      <c r="D71" s="179"/>
      <c r="E71" s="179"/>
      <c r="F71" s="179"/>
      <c r="G71" s="179"/>
      <c r="H71" s="179"/>
      <c r="I71" s="179"/>
      <c r="J71" s="179"/>
      <c r="K71" s="179"/>
      <c r="L71" s="179"/>
      <c r="M71" s="179"/>
      <c r="N71" s="179"/>
      <c r="O71" s="179"/>
      <c r="P71" s="180"/>
    </row>
    <row r="72" spans="1:16" x14ac:dyDescent="0.25">
      <c r="A72" s="181" t="s">
        <v>85</v>
      </c>
      <c r="B72" s="182"/>
      <c r="C72" s="182"/>
      <c r="D72" s="183"/>
      <c r="E72" s="182" t="s">
        <v>86</v>
      </c>
      <c r="F72" s="182"/>
      <c r="G72" s="182"/>
      <c r="H72" s="184"/>
      <c r="I72" s="181" t="s">
        <v>87</v>
      </c>
      <c r="J72" s="182"/>
      <c r="K72" s="182"/>
      <c r="L72" s="184"/>
      <c r="M72" s="181" t="s">
        <v>88</v>
      </c>
      <c r="N72" s="182"/>
      <c r="O72" s="182"/>
      <c r="P72" s="183"/>
    </row>
    <row r="73" spans="1:16" x14ac:dyDescent="0.25">
      <c r="A73" s="157" t="s">
        <v>89</v>
      </c>
      <c r="B73" s="107"/>
      <c r="C73" s="107"/>
      <c r="D73" s="134"/>
      <c r="E73" s="165" t="s">
        <v>89</v>
      </c>
      <c r="F73" s="107"/>
      <c r="G73" s="107"/>
      <c r="H73" s="166"/>
      <c r="I73" s="174" t="s">
        <v>89</v>
      </c>
      <c r="J73" s="175"/>
      <c r="K73" s="175"/>
      <c r="L73" s="176"/>
      <c r="M73" s="167"/>
      <c r="N73" s="133"/>
      <c r="O73" s="133"/>
      <c r="P73" s="158"/>
    </row>
    <row r="74" spans="1:16" x14ac:dyDescent="0.25">
      <c r="A74" s="132"/>
      <c r="B74" s="133"/>
      <c r="C74" s="133"/>
      <c r="D74" s="158"/>
      <c r="E74" s="167"/>
      <c r="F74" s="133"/>
      <c r="G74" s="133"/>
      <c r="H74" s="177"/>
      <c r="I74" s="132"/>
      <c r="J74" s="133"/>
      <c r="K74" s="133"/>
      <c r="L74" s="158"/>
      <c r="M74" s="167"/>
      <c r="N74" s="133"/>
      <c r="O74" s="133"/>
      <c r="P74" s="158"/>
    </row>
    <row r="75" spans="1:16" x14ac:dyDescent="0.25">
      <c r="A75" s="164" t="s">
        <v>90</v>
      </c>
      <c r="B75" s="152"/>
      <c r="C75" s="152"/>
      <c r="D75" s="153"/>
      <c r="E75" s="165" t="s">
        <v>90</v>
      </c>
      <c r="F75" s="107"/>
      <c r="G75" s="107"/>
      <c r="H75" s="166"/>
      <c r="I75" s="157" t="s">
        <v>90</v>
      </c>
      <c r="J75" s="107"/>
      <c r="K75" s="107"/>
      <c r="L75" s="134"/>
      <c r="M75" s="167"/>
      <c r="N75" s="133"/>
      <c r="O75" s="133"/>
      <c r="P75" s="158"/>
    </row>
    <row r="76" spans="1:16" ht="25.5" customHeight="1" x14ac:dyDescent="0.25">
      <c r="A76" s="168"/>
      <c r="B76" s="169"/>
      <c r="C76" s="169"/>
      <c r="D76" s="170"/>
      <c r="E76" s="171"/>
      <c r="F76" s="146"/>
      <c r="G76" s="146"/>
      <c r="H76" s="172"/>
      <c r="I76" s="173"/>
      <c r="J76" s="146"/>
      <c r="K76" s="146"/>
      <c r="L76" s="147"/>
      <c r="M76" s="171"/>
      <c r="N76" s="146"/>
      <c r="O76" s="146"/>
      <c r="P76" s="147"/>
    </row>
    <row r="77" spans="1:16" x14ac:dyDescent="0.25">
      <c r="A77" s="160"/>
      <c r="B77" s="160"/>
      <c r="C77" s="160"/>
      <c r="D77" s="160"/>
      <c r="E77" s="160"/>
      <c r="F77" s="160"/>
      <c r="G77" s="160"/>
      <c r="H77" s="160"/>
      <c r="I77" s="160"/>
      <c r="J77" s="160"/>
      <c r="K77" s="62"/>
      <c r="L77" s="62"/>
      <c r="M77" s="30"/>
      <c r="N77" s="30"/>
      <c r="O77" s="30"/>
      <c r="P77" s="30"/>
    </row>
    <row r="78" spans="1:16" x14ac:dyDescent="0.25">
      <c r="A78" s="161" t="s">
        <v>91</v>
      </c>
      <c r="B78" s="162"/>
      <c r="C78" s="162"/>
      <c r="D78" s="162"/>
      <c r="E78" s="162"/>
      <c r="F78" s="162"/>
      <c r="G78" s="162"/>
      <c r="H78" s="162"/>
      <c r="I78" s="162"/>
      <c r="J78" s="162"/>
      <c r="K78" s="162"/>
      <c r="L78" s="162"/>
      <c r="M78" s="162"/>
      <c r="N78" s="162"/>
      <c r="O78" s="162"/>
      <c r="P78" s="163"/>
    </row>
    <row r="79" spans="1:16" x14ac:dyDescent="0.25">
      <c r="A79" s="154" t="s">
        <v>92</v>
      </c>
      <c r="B79" s="155"/>
      <c r="C79" s="155"/>
      <c r="D79" s="155"/>
      <c r="E79" s="155"/>
      <c r="F79" s="155"/>
      <c r="G79" s="155"/>
      <c r="H79" s="155"/>
      <c r="I79" s="155"/>
      <c r="J79" s="155"/>
      <c r="K79" s="155"/>
      <c r="L79" s="155"/>
      <c r="M79" s="155"/>
      <c r="N79" s="155"/>
      <c r="O79" s="155"/>
      <c r="P79" s="156"/>
    </row>
    <row r="80" spans="1:16" ht="63.75" x14ac:dyDescent="0.25">
      <c r="A80" s="157" t="s">
        <v>93</v>
      </c>
      <c r="B80" s="107"/>
      <c r="C80" s="107"/>
      <c r="D80" s="107"/>
      <c r="E80" s="107"/>
      <c r="F80" s="107"/>
      <c r="G80" s="53" t="s">
        <v>94</v>
      </c>
      <c r="H80" s="53" t="s">
        <v>95</v>
      </c>
      <c r="I80" s="53" t="s">
        <v>96</v>
      </c>
      <c r="J80" s="53" t="s">
        <v>97</v>
      </c>
      <c r="K80" s="53" t="s">
        <v>98</v>
      </c>
      <c r="L80" s="133" t="s">
        <v>99</v>
      </c>
      <c r="M80" s="133"/>
      <c r="N80" s="133"/>
      <c r="O80" s="133" t="s">
        <v>100</v>
      </c>
      <c r="P80" s="158"/>
    </row>
    <row r="81" spans="1:16" x14ac:dyDescent="0.25">
      <c r="A81" s="144" t="e">
        <f>IF(AND(I81&gt;$B$251,I81&lt;=$C$251),$D$251,IF(AND(I81&gt;$B$250,I81&lt;=$C$250),$D$250,IF(AND(#REF!&gt;$B$249,I81&lt;=$C$249),$D$249,IF(AND(I81&gt;$B$248,I81&lt;=$C$248),$D$248,IF(AND(I81&gt;$B$247,I81&lt;=$C$247),$D$247,"0")))))</f>
        <v>#DIV/0!</v>
      </c>
      <c r="B81" s="145"/>
      <c r="C81" s="145"/>
      <c r="D81" s="145"/>
      <c r="E81" s="145"/>
      <c r="F81" s="145"/>
      <c r="G81" s="63">
        <f>G89+G97+G105+G113+G121+G129+G145+G137</f>
        <v>0</v>
      </c>
      <c r="H81" s="63">
        <f>H89+H97+H105+H113+H121+H129+H145+H137</f>
        <v>0</v>
      </c>
      <c r="I81" s="64" t="e">
        <f>H81/G81</f>
        <v>#DIV/0!</v>
      </c>
      <c r="J81" s="65" t="e">
        <f>G254</f>
        <v>#DIV/0!</v>
      </c>
      <c r="K81" s="64" t="e">
        <f>J81*I81</f>
        <v>#DIV/0!</v>
      </c>
      <c r="L81" s="146"/>
      <c r="M81" s="146"/>
      <c r="N81" s="146"/>
      <c r="O81" s="146"/>
      <c r="P81" s="147"/>
    </row>
    <row r="82" spans="1:16" x14ac:dyDescent="0.25">
      <c r="A82" s="148" t="s">
        <v>101</v>
      </c>
      <c r="B82" s="101"/>
      <c r="C82" s="101"/>
      <c r="D82" s="101"/>
      <c r="E82" s="101"/>
      <c r="F82" s="101"/>
      <c r="G82" s="101"/>
      <c r="H82" s="101"/>
      <c r="I82" s="101"/>
      <c r="J82" s="101"/>
      <c r="K82" s="101"/>
      <c r="L82" s="101"/>
      <c r="M82" s="101"/>
      <c r="N82" s="101"/>
      <c r="O82" s="101"/>
      <c r="P82" s="149"/>
    </row>
    <row r="83" spans="1:16" ht="51" x14ac:dyDescent="0.25">
      <c r="A83" s="66" t="s">
        <v>102</v>
      </c>
      <c r="B83" s="133" t="s">
        <v>103</v>
      </c>
      <c r="C83" s="133"/>
      <c r="D83" s="55" t="s">
        <v>104</v>
      </c>
      <c r="E83" s="133" t="s">
        <v>105</v>
      </c>
      <c r="F83" s="133"/>
      <c r="G83" s="55" t="s">
        <v>106</v>
      </c>
      <c r="H83" s="55" t="s">
        <v>107</v>
      </c>
      <c r="I83" s="55" t="s">
        <v>96</v>
      </c>
      <c r="J83" s="55" t="s">
        <v>108</v>
      </c>
      <c r="K83" s="55" t="s">
        <v>109</v>
      </c>
      <c r="L83" s="107" t="s">
        <v>110</v>
      </c>
      <c r="M83" s="107"/>
      <c r="N83" s="107"/>
      <c r="O83" s="107" t="s">
        <v>100</v>
      </c>
      <c r="P83" s="134"/>
    </row>
    <row r="84" spans="1:16" x14ac:dyDescent="0.25">
      <c r="A84" s="66"/>
      <c r="B84" s="159"/>
      <c r="C84" s="159"/>
      <c r="D84" s="55"/>
      <c r="E84" s="133"/>
      <c r="F84" s="133"/>
      <c r="G84" s="55"/>
      <c r="H84" s="55"/>
      <c r="I84" s="67" t="e">
        <f t="shared" ref="I84:I89" si="0">H84/G84</f>
        <v>#DIV/0!</v>
      </c>
      <c r="J84" s="67" t="e">
        <f>G84/$G$81</f>
        <v>#DIV/0!</v>
      </c>
      <c r="K84" s="68" t="e">
        <f t="shared" ref="K84:K89" si="1">J84*I84</f>
        <v>#DIV/0!</v>
      </c>
      <c r="L84" s="133"/>
      <c r="M84" s="133"/>
      <c r="N84" s="133"/>
      <c r="O84" s="107"/>
      <c r="P84" s="134"/>
    </row>
    <row r="85" spans="1:16" x14ac:dyDescent="0.25">
      <c r="A85" s="66"/>
      <c r="B85" s="133"/>
      <c r="C85" s="133"/>
      <c r="D85" s="55"/>
      <c r="E85" s="133"/>
      <c r="F85" s="133"/>
      <c r="G85" s="55"/>
      <c r="H85" s="55"/>
      <c r="I85" s="67" t="e">
        <f t="shared" si="0"/>
        <v>#DIV/0!</v>
      </c>
      <c r="J85" s="67" t="e">
        <f>G85/$G$81</f>
        <v>#DIV/0!</v>
      </c>
      <c r="K85" s="68" t="e">
        <f t="shared" si="1"/>
        <v>#DIV/0!</v>
      </c>
      <c r="L85" s="133"/>
      <c r="M85" s="133"/>
      <c r="N85" s="133"/>
      <c r="O85" s="107"/>
      <c r="P85" s="134"/>
    </row>
    <row r="86" spans="1:16" x14ac:dyDescent="0.25">
      <c r="A86" s="66"/>
      <c r="B86" s="133"/>
      <c r="C86" s="133"/>
      <c r="D86" s="55"/>
      <c r="E86" s="133"/>
      <c r="F86" s="133"/>
      <c r="G86" s="55"/>
      <c r="H86" s="55"/>
      <c r="I86" s="67" t="e">
        <f t="shared" si="0"/>
        <v>#DIV/0!</v>
      </c>
      <c r="J86" s="67" t="e">
        <f>G86/$G$81</f>
        <v>#DIV/0!</v>
      </c>
      <c r="K86" s="68" t="e">
        <f t="shared" si="1"/>
        <v>#DIV/0!</v>
      </c>
      <c r="L86" s="133"/>
      <c r="M86" s="133"/>
      <c r="N86" s="133"/>
      <c r="O86" s="107"/>
      <c r="P86" s="134"/>
    </row>
    <row r="87" spans="1:16" x14ac:dyDescent="0.25">
      <c r="A87" s="66"/>
      <c r="B87" s="133"/>
      <c r="C87" s="133"/>
      <c r="D87" s="55"/>
      <c r="E87" s="133"/>
      <c r="F87" s="133"/>
      <c r="G87" s="55"/>
      <c r="H87" s="55"/>
      <c r="I87" s="67" t="e">
        <f t="shared" si="0"/>
        <v>#DIV/0!</v>
      </c>
      <c r="J87" s="67" t="e">
        <f>G87/$G$81</f>
        <v>#DIV/0!</v>
      </c>
      <c r="K87" s="68" t="e">
        <f t="shared" si="1"/>
        <v>#DIV/0!</v>
      </c>
      <c r="L87" s="133"/>
      <c r="M87" s="133"/>
      <c r="N87" s="133"/>
      <c r="O87" s="107"/>
      <c r="P87" s="134"/>
    </row>
    <row r="88" spans="1:16" x14ac:dyDescent="0.25">
      <c r="A88" s="66"/>
      <c r="B88" s="133"/>
      <c r="C88" s="133"/>
      <c r="D88" s="55"/>
      <c r="E88" s="133"/>
      <c r="F88" s="133"/>
      <c r="G88" s="55"/>
      <c r="H88" s="55"/>
      <c r="I88" s="67" t="e">
        <f t="shared" si="0"/>
        <v>#DIV/0!</v>
      </c>
      <c r="J88" s="67" t="e">
        <f>G88/$G$81</f>
        <v>#DIV/0!</v>
      </c>
      <c r="K88" s="68" t="e">
        <f t="shared" si="1"/>
        <v>#DIV/0!</v>
      </c>
      <c r="L88" s="133"/>
      <c r="M88" s="133"/>
      <c r="N88" s="133"/>
      <c r="O88" s="107"/>
      <c r="P88" s="134"/>
    </row>
    <row r="89" spans="1:16" x14ac:dyDescent="0.25">
      <c r="A89" s="132" t="s">
        <v>111</v>
      </c>
      <c r="B89" s="133"/>
      <c r="C89" s="133"/>
      <c r="D89" s="133"/>
      <c r="E89" s="133"/>
      <c r="F89" s="133"/>
      <c r="G89" s="55">
        <f>SUM(G84:G88)</f>
        <v>0</v>
      </c>
      <c r="H89" s="55">
        <f>SUM(H84:H88)</f>
        <v>0</v>
      </c>
      <c r="I89" s="67" t="e">
        <f t="shared" si="0"/>
        <v>#DIV/0!</v>
      </c>
      <c r="J89" s="67" t="e">
        <f>SUM(J84:J88)</f>
        <v>#DIV/0!</v>
      </c>
      <c r="K89" s="68" t="e">
        <f t="shared" si="1"/>
        <v>#DIV/0!</v>
      </c>
      <c r="L89" s="133"/>
      <c r="M89" s="133"/>
      <c r="N89" s="133"/>
      <c r="O89" s="107"/>
      <c r="P89" s="134"/>
    </row>
    <row r="90" spans="1:16" x14ac:dyDescent="0.25">
      <c r="A90" s="141" t="s">
        <v>112</v>
      </c>
      <c r="B90" s="142"/>
      <c r="C90" s="142"/>
      <c r="D90" s="142"/>
      <c r="E90" s="142"/>
      <c r="F90" s="142"/>
      <c r="G90" s="142"/>
      <c r="H90" s="142"/>
      <c r="I90" s="142"/>
      <c r="J90" s="142"/>
      <c r="K90" s="142"/>
      <c r="L90" s="142"/>
      <c r="M90" s="142"/>
      <c r="N90" s="142"/>
      <c r="O90" s="142"/>
      <c r="P90" s="143"/>
    </row>
    <row r="91" spans="1:16" ht="51" x14ac:dyDescent="0.25">
      <c r="A91" s="66" t="s">
        <v>102</v>
      </c>
      <c r="B91" s="133" t="s">
        <v>103</v>
      </c>
      <c r="C91" s="133"/>
      <c r="D91" s="55" t="s">
        <v>104</v>
      </c>
      <c r="E91" s="133" t="s">
        <v>105</v>
      </c>
      <c r="F91" s="133"/>
      <c r="G91" s="55" t="s">
        <v>106</v>
      </c>
      <c r="H91" s="55" t="s">
        <v>107</v>
      </c>
      <c r="I91" s="55" t="s">
        <v>96</v>
      </c>
      <c r="J91" s="55" t="s">
        <v>108</v>
      </c>
      <c r="K91" s="55" t="s">
        <v>109</v>
      </c>
      <c r="L91" s="107" t="s">
        <v>110</v>
      </c>
      <c r="M91" s="107"/>
      <c r="N91" s="107"/>
      <c r="O91" s="107" t="s">
        <v>100</v>
      </c>
      <c r="P91" s="134"/>
    </row>
    <row r="92" spans="1:16" x14ac:dyDescent="0.25">
      <c r="A92" s="66"/>
      <c r="B92" s="133"/>
      <c r="C92" s="133"/>
      <c r="D92" s="55"/>
      <c r="E92" s="133"/>
      <c r="F92" s="133"/>
      <c r="G92" s="55"/>
      <c r="H92" s="55"/>
      <c r="I92" s="67" t="e">
        <f t="shared" ref="I92:I97" si="2">H92/G92</f>
        <v>#DIV/0!</v>
      </c>
      <c r="J92" s="67" t="e">
        <f>G92/$G$81</f>
        <v>#DIV/0!</v>
      </c>
      <c r="K92" s="68" t="e">
        <f t="shared" ref="K92:K97" si="3">J92*I92</f>
        <v>#DIV/0!</v>
      </c>
      <c r="L92" s="133"/>
      <c r="M92" s="133"/>
      <c r="N92" s="133"/>
      <c r="O92" s="107"/>
      <c r="P92" s="134"/>
    </row>
    <row r="93" spans="1:16" x14ac:dyDescent="0.25">
      <c r="A93" s="66"/>
      <c r="B93" s="133"/>
      <c r="C93" s="133"/>
      <c r="D93" s="55"/>
      <c r="E93" s="133"/>
      <c r="F93" s="133"/>
      <c r="G93" s="55"/>
      <c r="H93" s="55"/>
      <c r="I93" s="67" t="e">
        <f t="shared" si="2"/>
        <v>#DIV/0!</v>
      </c>
      <c r="J93" s="67" t="e">
        <f>G93/$G$81</f>
        <v>#DIV/0!</v>
      </c>
      <c r="K93" s="68" t="e">
        <f t="shared" si="3"/>
        <v>#DIV/0!</v>
      </c>
      <c r="L93" s="133"/>
      <c r="M93" s="133"/>
      <c r="N93" s="133"/>
      <c r="O93" s="107"/>
      <c r="P93" s="134"/>
    </row>
    <row r="94" spans="1:16" x14ac:dyDescent="0.25">
      <c r="A94" s="66"/>
      <c r="B94" s="133"/>
      <c r="C94" s="133"/>
      <c r="D94" s="55"/>
      <c r="E94" s="133"/>
      <c r="F94" s="133"/>
      <c r="G94" s="55"/>
      <c r="H94" s="55"/>
      <c r="I94" s="67" t="e">
        <f t="shared" si="2"/>
        <v>#DIV/0!</v>
      </c>
      <c r="J94" s="67" t="e">
        <f>G94/$G$81</f>
        <v>#DIV/0!</v>
      </c>
      <c r="K94" s="68" t="e">
        <f t="shared" si="3"/>
        <v>#DIV/0!</v>
      </c>
      <c r="L94" s="133"/>
      <c r="M94" s="133"/>
      <c r="N94" s="133"/>
      <c r="O94" s="107"/>
      <c r="P94" s="134"/>
    </row>
    <row r="95" spans="1:16" x14ac:dyDescent="0.25">
      <c r="A95" s="66"/>
      <c r="B95" s="133"/>
      <c r="C95" s="133"/>
      <c r="D95" s="55"/>
      <c r="E95" s="133"/>
      <c r="F95" s="133"/>
      <c r="G95" s="55"/>
      <c r="H95" s="55"/>
      <c r="I95" s="67" t="e">
        <f t="shared" si="2"/>
        <v>#DIV/0!</v>
      </c>
      <c r="J95" s="67" t="e">
        <f>G95/$G$81</f>
        <v>#DIV/0!</v>
      </c>
      <c r="K95" s="68" t="e">
        <f t="shared" si="3"/>
        <v>#DIV/0!</v>
      </c>
      <c r="L95" s="133"/>
      <c r="M95" s="133"/>
      <c r="N95" s="133"/>
      <c r="O95" s="107"/>
      <c r="P95" s="134"/>
    </row>
    <row r="96" spans="1:16" x14ac:dyDescent="0.25">
      <c r="A96" s="66"/>
      <c r="B96" s="133"/>
      <c r="C96" s="133"/>
      <c r="D96" s="55"/>
      <c r="E96" s="133"/>
      <c r="F96" s="133"/>
      <c r="G96" s="55"/>
      <c r="H96" s="55"/>
      <c r="I96" s="67" t="e">
        <f t="shared" si="2"/>
        <v>#DIV/0!</v>
      </c>
      <c r="J96" s="67" t="e">
        <f>G96/$G$81</f>
        <v>#DIV/0!</v>
      </c>
      <c r="K96" s="68" t="e">
        <f t="shared" si="3"/>
        <v>#DIV/0!</v>
      </c>
      <c r="L96" s="133"/>
      <c r="M96" s="133"/>
      <c r="N96" s="133"/>
      <c r="O96" s="107"/>
      <c r="P96" s="134"/>
    </row>
    <row r="97" spans="1:16" x14ac:dyDescent="0.25">
      <c r="A97" s="132" t="s">
        <v>111</v>
      </c>
      <c r="B97" s="133"/>
      <c r="C97" s="133"/>
      <c r="D97" s="133"/>
      <c r="E97" s="133"/>
      <c r="F97" s="133"/>
      <c r="G97" s="55">
        <f>SUM(G92:G96)</f>
        <v>0</v>
      </c>
      <c r="H97" s="55">
        <f>SUM(H92:H96)</f>
        <v>0</v>
      </c>
      <c r="I97" s="67" t="e">
        <f t="shared" si="2"/>
        <v>#DIV/0!</v>
      </c>
      <c r="J97" s="67" t="e">
        <f>SUM(J92:J96)</f>
        <v>#DIV/0!</v>
      </c>
      <c r="K97" s="68" t="e">
        <f t="shared" si="3"/>
        <v>#DIV/0!</v>
      </c>
      <c r="L97" s="133"/>
      <c r="M97" s="133"/>
      <c r="N97" s="133"/>
      <c r="O97" s="107"/>
      <c r="P97" s="134"/>
    </row>
    <row r="98" spans="1:16" x14ac:dyDescent="0.25">
      <c r="A98" s="141" t="s">
        <v>113</v>
      </c>
      <c r="B98" s="142"/>
      <c r="C98" s="142"/>
      <c r="D98" s="142"/>
      <c r="E98" s="142"/>
      <c r="F98" s="142"/>
      <c r="G98" s="142"/>
      <c r="H98" s="142"/>
      <c r="I98" s="142"/>
      <c r="J98" s="142"/>
      <c r="K98" s="142"/>
      <c r="L98" s="142"/>
      <c r="M98" s="142"/>
      <c r="N98" s="142"/>
      <c r="O98" s="142"/>
      <c r="P98" s="143"/>
    </row>
    <row r="99" spans="1:16" ht="51" x14ac:dyDescent="0.25">
      <c r="A99" s="66" t="s">
        <v>102</v>
      </c>
      <c r="B99" s="133" t="s">
        <v>103</v>
      </c>
      <c r="C99" s="133"/>
      <c r="D99" s="55" t="s">
        <v>104</v>
      </c>
      <c r="E99" s="133" t="s">
        <v>105</v>
      </c>
      <c r="F99" s="133"/>
      <c r="G99" s="55" t="s">
        <v>106</v>
      </c>
      <c r="H99" s="55" t="s">
        <v>107</v>
      </c>
      <c r="I99" s="55" t="s">
        <v>96</v>
      </c>
      <c r="J99" s="55" t="s">
        <v>108</v>
      </c>
      <c r="K99" s="55" t="s">
        <v>109</v>
      </c>
      <c r="L99" s="107" t="s">
        <v>110</v>
      </c>
      <c r="M99" s="107"/>
      <c r="N99" s="107"/>
      <c r="O99" s="107" t="s">
        <v>100</v>
      </c>
      <c r="P99" s="134"/>
    </row>
    <row r="100" spans="1:16" x14ac:dyDescent="0.25">
      <c r="A100" s="66" t="s">
        <v>114</v>
      </c>
      <c r="B100" s="133" t="s">
        <v>115</v>
      </c>
      <c r="C100" s="133"/>
      <c r="D100" s="55"/>
      <c r="E100" s="133"/>
      <c r="F100" s="133"/>
      <c r="G100" s="55"/>
      <c r="H100" s="55"/>
      <c r="I100" s="67" t="e">
        <f t="shared" ref="I100:I105" si="4">H100/G100</f>
        <v>#DIV/0!</v>
      </c>
      <c r="J100" s="67" t="e">
        <f>G100/$G$81</f>
        <v>#DIV/0!</v>
      </c>
      <c r="K100" s="68" t="e">
        <f t="shared" ref="K100:K105" si="5">J100*I100</f>
        <v>#DIV/0!</v>
      </c>
      <c r="L100" s="133"/>
      <c r="M100" s="133"/>
      <c r="N100" s="133"/>
      <c r="O100" s="107"/>
      <c r="P100" s="134"/>
    </row>
    <row r="101" spans="1:16" x14ac:dyDescent="0.25">
      <c r="A101" s="66"/>
      <c r="B101" s="133"/>
      <c r="C101" s="133"/>
      <c r="D101" s="55"/>
      <c r="E101" s="133"/>
      <c r="F101" s="133"/>
      <c r="G101" s="55"/>
      <c r="H101" s="55"/>
      <c r="I101" s="67" t="e">
        <f t="shared" si="4"/>
        <v>#DIV/0!</v>
      </c>
      <c r="J101" s="67" t="e">
        <f>G101/$G$81</f>
        <v>#DIV/0!</v>
      </c>
      <c r="K101" s="68" t="e">
        <f t="shared" si="5"/>
        <v>#DIV/0!</v>
      </c>
      <c r="L101" s="133"/>
      <c r="M101" s="133"/>
      <c r="N101" s="133"/>
      <c r="O101" s="107"/>
      <c r="P101" s="134"/>
    </row>
    <row r="102" spans="1:16" x14ac:dyDescent="0.25">
      <c r="A102" s="66"/>
      <c r="B102" s="133"/>
      <c r="C102" s="133"/>
      <c r="D102" s="55"/>
      <c r="E102" s="133"/>
      <c r="F102" s="133"/>
      <c r="G102" s="55"/>
      <c r="H102" s="55"/>
      <c r="I102" s="67" t="e">
        <f>H102/G102</f>
        <v>#DIV/0!</v>
      </c>
      <c r="J102" s="67" t="e">
        <f>G102/$G$81</f>
        <v>#DIV/0!</v>
      </c>
      <c r="K102" s="68" t="e">
        <f t="shared" si="5"/>
        <v>#DIV/0!</v>
      </c>
      <c r="L102" s="133"/>
      <c r="M102" s="133"/>
      <c r="N102" s="133"/>
      <c r="O102" s="107"/>
      <c r="P102" s="134"/>
    </row>
    <row r="103" spans="1:16" x14ac:dyDescent="0.25">
      <c r="A103" s="66"/>
      <c r="B103" s="133"/>
      <c r="C103" s="133"/>
      <c r="D103" s="55"/>
      <c r="E103" s="133"/>
      <c r="F103" s="133"/>
      <c r="G103" s="55"/>
      <c r="H103" s="55"/>
      <c r="I103" s="67" t="e">
        <f t="shared" si="4"/>
        <v>#DIV/0!</v>
      </c>
      <c r="J103" s="67" t="e">
        <f>G103/$G$81</f>
        <v>#DIV/0!</v>
      </c>
      <c r="K103" s="68" t="e">
        <f t="shared" si="5"/>
        <v>#DIV/0!</v>
      </c>
      <c r="L103" s="133"/>
      <c r="M103" s="133"/>
      <c r="N103" s="133"/>
      <c r="O103" s="107"/>
      <c r="P103" s="134"/>
    </row>
    <row r="104" spans="1:16" x14ac:dyDescent="0.25">
      <c r="A104" s="66"/>
      <c r="B104" s="133"/>
      <c r="C104" s="133"/>
      <c r="D104" s="55"/>
      <c r="E104" s="133"/>
      <c r="F104" s="133"/>
      <c r="G104" s="55"/>
      <c r="H104" s="55"/>
      <c r="I104" s="67" t="e">
        <f t="shared" si="4"/>
        <v>#DIV/0!</v>
      </c>
      <c r="J104" s="67" t="e">
        <f>G104/$G$81</f>
        <v>#DIV/0!</v>
      </c>
      <c r="K104" s="68" t="e">
        <f t="shared" si="5"/>
        <v>#DIV/0!</v>
      </c>
      <c r="L104" s="133"/>
      <c r="M104" s="133"/>
      <c r="N104" s="133"/>
      <c r="O104" s="107"/>
      <c r="P104" s="134"/>
    </row>
    <row r="105" spans="1:16" x14ac:dyDescent="0.25">
      <c r="A105" s="132" t="s">
        <v>111</v>
      </c>
      <c r="B105" s="133"/>
      <c r="C105" s="133"/>
      <c r="D105" s="133"/>
      <c r="E105" s="133"/>
      <c r="F105" s="133"/>
      <c r="G105" s="55">
        <f>SUM(G100:G104)</f>
        <v>0</v>
      </c>
      <c r="H105" s="55">
        <f>SUM(H100:H104)</f>
        <v>0</v>
      </c>
      <c r="I105" s="67" t="e">
        <f t="shared" si="4"/>
        <v>#DIV/0!</v>
      </c>
      <c r="J105" s="67" t="e">
        <f>SUM(J100:J104)</f>
        <v>#DIV/0!</v>
      </c>
      <c r="K105" s="68" t="e">
        <f t="shared" si="5"/>
        <v>#DIV/0!</v>
      </c>
      <c r="L105" s="133"/>
      <c r="M105" s="133"/>
      <c r="N105" s="133"/>
      <c r="O105" s="107"/>
      <c r="P105" s="134"/>
    </row>
    <row r="106" spans="1:16" x14ac:dyDescent="0.25">
      <c r="A106" s="141" t="s">
        <v>116</v>
      </c>
      <c r="B106" s="142"/>
      <c r="C106" s="142"/>
      <c r="D106" s="142"/>
      <c r="E106" s="142"/>
      <c r="F106" s="142"/>
      <c r="G106" s="142"/>
      <c r="H106" s="142"/>
      <c r="I106" s="142"/>
      <c r="J106" s="142"/>
      <c r="K106" s="142"/>
      <c r="L106" s="142"/>
      <c r="M106" s="142"/>
      <c r="N106" s="142"/>
      <c r="O106" s="142"/>
      <c r="P106" s="143"/>
    </row>
    <row r="107" spans="1:16" ht="51" x14ac:dyDescent="0.25">
      <c r="A107" s="66" t="s">
        <v>102</v>
      </c>
      <c r="B107" s="133" t="s">
        <v>103</v>
      </c>
      <c r="C107" s="133"/>
      <c r="D107" s="55" t="s">
        <v>104</v>
      </c>
      <c r="E107" s="133" t="s">
        <v>105</v>
      </c>
      <c r="F107" s="133"/>
      <c r="G107" s="55" t="s">
        <v>106</v>
      </c>
      <c r="H107" s="55" t="s">
        <v>107</v>
      </c>
      <c r="I107" s="55" t="s">
        <v>96</v>
      </c>
      <c r="J107" s="55" t="s">
        <v>108</v>
      </c>
      <c r="K107" s="55" t="s">
        <v>109</v>
      </c>
      <c r="L107" s="107" t="s">
        <v>110</v>
      </c>
      <c r="M107" s="107"/>
      <c r="N107" s="107"/>
      <c r="O107" s="107" t="s">
        <v>100</v>
      </c>
      <c r="P107" s="134"/>
    </row>
    <row r="108" spans="1:16" x14ac:dyDescent="0.25">
      <c r="A108" s="66"/>
      <c r="B108" s="133"/>
      <c r="C108" s="133"/>
      <c r="D108" s="55"/>
      <c r="E108" s="133"/>
      <c r="F108" s="133"/>
      <c r="G108" s="55"/>
      <c r="H108" s="55"/>
      <c r="I108" s="67" t="e">
        <f t="shared" ref="I108:I113" si="6">H108/G108</f>
        <v>#DIV/0!</v>
      </c>
      <c r="J108" s="67" t="e">
        <f>G108/$G$81</f>
        <v>#DIV/0!</v>
      </c>
      <c r="K108" s="68" t="e">
        <f t="shared" ref="K108:K113" si="7">J108*I108</f>
        <v>#DIV/0!</v>
      </c>
      <c r="L108" s="133"/>
      <c r="M108" s="133"/>
      <c r="N108" s="133"/>
      <c r="O108" s="107"/>
      <c r="P108" s="134"/>
    </row>
    <row r="109" spans="1:16" x14ac:dyDescent="0.25">
      <c r="A109" s="66"/>
      <c r="B109" s="133"/>
      <c r="C109" s="133"/>
      <c r="D109" s="55"/>
      <c r="E109" s="133"/>
      <c r="F109" s="133"/>
      <c r="G109" s="55"/>
      <c r="H109" s="55"/>
      <c r="I109" s="67" t="e">
        <f t="shared" si="6"/>
        <v>#DIV/0!</v>
      </c>
      <c r="J109" s="67" t="e">
        <f>G109/$G$81</f>
        <v>#DIV/0!</v>
      </c>
      <c r="K109" s="68" t="e">
        <f t="shared" si="7"/>
        <v>#DIV/0!</v>
      </c>
      <c r="L109" s="133"/>
      <c r="M109" s="133"/>
      <c r="N109" s="133"/>
      <c r="O109" s="107"/>
      <c r="P109" s="134"/>
    </row>
    <row r="110" spans="1:16" x14ac:dyDescent="0.25">
      <c r="A110" s="66"/>
      <c r="B110" s="133"/>
      <c r="C110" s="133"/>
      <c r="D110" s="55"/>
      <c r="E110" s="133"/>
      <c r="F110" s="133"/>
      <c r="G110" s="55"/>
      <c r="H110" s="55"/>
      <c r="I110" s="67" t="e">
        <f t="shared" si="6"/>
        <v>#DIV/0!</v>
      </c>
      <c r="J110" s="67" t="e">
        <f>G110/$G$81</f>
        <v>#DIV/0!</v>
      </c>
      <c r="K110" s="68" t="e">
        <f t="shared" si="7"/>
        <v>#DIV/0!</v>
      </c>
      <c r="L110" s="133"/>
      <c r="M110" s="133"/>
      <c r="N110" s="133"/>
      <c r="O110" s="107"/>
      <c r="P110" s="134"/>
    </row>
    <row r="111" spans="1:16" x14ac:dyDescent="0.25">
      <c r="A111" s="66"/>
      <c r="B111" s="133"/>
      <c r="C111" s="133"/>
      <c r="D111" s="55"/>
      <c r="E111" s="133"/>
      <c r="F111" s="133"/>
      <c r="G111" s="55"/>
      <c r="H111" s="55"/>
      <c r="I111" s="67" t="e">
        <f t="shared" si="6"/>
        <v>#DIV/0!</v>
      </c>
      <c r="J111" s="67" t="e">
        <f>G111/$G$81</f>
        <v>#DIV/0!</v>
      </c>
      <c r="K111" s="68" t="e">
        <f t="shared" si="7"/>
        <v>#DIV/0!</v>
      </c>
      <c r="L111" s="133"/>
      <c r="M111" s="133"/>
      <c r="N111" s="133"/>
      <c r="O111" s="107"/>
      <c r="P111" s="134"/>
    </row>
    <row r="112" spans="1:16" x14ac:dyDescent="0.25">
      <c r="A112" s="66"/>
      <c r="B112" s="133"/>
      <c r="C112" s="133"/>
      <c r="D112" s="55"/>
      <c r="E112" s="133"/>
      <c r="F112" s="133"/>
      <c r="G112" s="55"/>
      <c r="H112" s="55"/>
      <c r="I112" s="67" t="e">
        <f t="shared" si="6"/>
        <v>#DIV/0!</v>
      </c>
      <c r="J112" s="67" t="e">
        <f>G112/$G$81</f>
        <v>#DIV/0!</v>
      </c>
      <c r="K112" s="68" t="e">
        <f t="shared" si="7"/>
        <v>#DIV/0!</v>
      </c>
      <c r="L112" s="133"/>
      <c r="M112" s="133"/>
      <c r="N112" s="133"/>
      <c r="O112" s="107"/>
      <c r="P112" s="134"/>
    </row>
    <row r="113" spans="1:16" x14ac:dyDescent="0.25">
      <c r="A113" s="132" t="s">
        <v>111</v>
      </c>
      <c r="B113" s="133"/>
      <c r="C113" s="133"/>
      <c r="D113" s="133"/>
      <c r="E113" s="133"/>
      <c r="F113" s="133"/>
      <c r="G113" s="55">
        <f>SUM(G108:G112)</f>
        <v>0</v>
      </c>
      <c r="H113" s="55">
        <f>SUM(H108:H112)</f>
        <v>0</v>
      </c>
      <c r="I113" s="67" t="e">
        <f t="shared" si="6"/>
        <v>#DIV/0!</v>
      </c>
      <c r="J113" s="67" t="e">
        <f>SUM(J108:J112)</f>
        <v>#DIV/0!</v>
      </c>
      <c r="K113" s="68" t="e">
        <f t="shared" si="7"/>
        <v>#DIV/0!</v>
      </c>
      <c r="L113" s="133"/>
      <c r="M113" s="133"/>
      <c r="N113" s="133"/>
      <c r="O113" s="107"/>
      <c r="P113" s="134"/>
    </row>
    <row r="114" spans="1:16" x14ac:dyDescent="0.25">
      <c r="A114" s="141" t="s">
        <v>117</v>
      </c>
      <c r="B114" s="142"/>
      <c r="C114" s="142"/>
      <c r="D114" s="142"/>
      <c r="E114" s="142"/>
      <c r="F114" s="142"/>
      <c r="G114" s="142"/>
      <c r="H114" s="142"/>
      <c r="I114" s="142"/>
      <c r="J114" s="142"/>
      <c r="K114" s="142"/>
      <c r="L114" s="142"/>
      <c r="M114" s="142"/>
      <c r="N114" s="142"/>
      <c r="O114" s="142"/>
      <c r="P114" s="143"/>
    </row>
    <row r="115" spans="1:16" ht="51" x14ac:dyDescent="0.25">
      <c r="A115" s="66" t="s">
        <v>102</v>
      </c>
      <c r="B115" s="133" t="s">
        <v>103</v>
      </c>
      <c r="C115" s="133"/>
      <c r="D115" s="55" t="s">
        <v>104</v>
      </c>
      <c r="E115" s="133" t="s">
        <v>105</v>
      </c>
      <c r="F115" s="133"/>
      <c r="G115" s="55" t="s">
        <v>106</v>
      </c>
      <c r="H115" s="55" t="s">
        <v>107</v>
      </c>
      <c r="I115" s="55" t="s">
        <v>96</v>
      </c>
      <c r="J115" s="55" t="s">
        <v>108</v>
      </c>
      <c r="K115" s="55" t="s">
        <v>109</v>
      </c>
      <c r="L115" s="107" t="s">
        <v>110</v>
      </c>
      <c r="M115" s="107"/>
      <c r="N115" s="107"/>
      <c r="O115" s="107" t="s">
        <v>100</v>
      </c>
      <c r="P115" s="134"/>
    </row>
    <row r="116" spans="1:16" x14ac:dyDescent="0.25">
      <c r="A116" s="66"/>
      <c r="B116" s="133"/>
      <c r="C116" s="133"/>
      <c r="D116" s="55"/>
      <c r="E116" s="133"/>
      <c r="F116" s="133"/>
      <c r="G116" s="55"/>
      <c r="H116" s="55"/>
      <c r="I116" s="67" t="e">
        <f t="shared" ref="I116:I121" si="8">H116/G116</f>
        <v>#DIV/0!</v>
      </c>
      <c r="J116" s="67" t="e">
        <f>G116/$G$81</f>
        <v>#DIV/0!</v>
      </c>
      <c r="K116" s="68" t="e">
        <f t="shared" ref="K116:K121" si="9">J116*I116</f>
        <v>#DIV/0!</v>
      </c>
      <c r="L116" s="133"/>
      <c r="M116" s="133"/>
      <c r="N116" s="133"/>
      <c r="O116" s="107"/>
      <c r="P116" s="134"/>
    </row>
    <row r="117" spans="1:16" x14ac:dyDescent="0.25">
      <c r="A117" s="66"/>
      <c r="B117" s="133"/>
      <c r="C117" s="133"/>
      <c r="D117" s="55"/>
      <c r="E117" s="133"/>
      <c r="F117" s="133"/>
      <c r="G117" s="55"/>
      <c r="H117" s="55"/>
      <c r="I117" s="67" t="e">
        <f t="shared" si="8"/>
        <v>#DIV/0!</v>
      </c>
      <c r="J117" s="67" t="e">
        <f>G117/$G$81</f>
        <v>#DIV/0!</v>
      </c>
      <c r="K117" s="68" t="e">
        <f t="shared" si="9"/>
        <v>#DIV/0!</v>
      </c>
      <c r="L117" s="133"/>
      <c r="M117" s="133"/>
      <c r="N117" s="133"/>
      <c r="O117" s="107"/>
      <c r="P117" s="134"/>
    </row>
    <row r="118" spans="1:16" x14ac:dyDescent="0.25">
      <c r="A118" s="66"/>
      <c r="B118" s="133"/>
      <c r="C118" s="133"/>
      <c r="D118" s="55"/>
      <c r="E118" s="133"/>
      <c r="F118" s="133"/>
      <c r="G118" s="55"/>
      <c r="H118" s="55"/>
      <c r="I118" s="67" t="e">
        <f t="shared" si="8"/>
        <v>#DIV/0!</v>
      </c>
      <c r="J118" s="67" t="e">
        <f>G118/$G$81</f>
        <v>#DIV/0!</v>
      </c>
      <c r="K118" s="68" t="e">
        <f t="shared" si="9"/>
        <v>#DIV/0!</v>
      </c>
      <c r="L118" s="133"/>
      <c r="M118" s="133"/>
      <c r="N118" s="133"/>
      <c r="O118" s="107"/>
      <c r="P118" s="134"/>
    </row>
    <row r="119" spans="1:16" x14ac:dyDescent="0.25">
      <c r="A119" s="66"/>
      <c r="B119" s="133"/>
      <c r="C119" s="133"/>
      <c r="D119" s="55"/>
      <c r="E119" s="133"/>
      <c r="F119" s="133"/>
      <c r="G119" s="55"/>
      <c r="H119" s="55"/>
      <c r="I119" s="67" t="e">
        <f t="shared" si="8"/>
        <v>#DIV/0!</v>
      </c>
      <c r="J119" s="67" t="e">
        <f>G119/$G$81</f>
        <v>#DIV/0!</v>
      </c>
      <c r="K119" s="68" t="e">
        <f t="shared" si="9"/>
        <v>#DIV/0!</v>
      </c>
      <c r="L119" s="133"/>
      <c r="M119" s="133"/>
      <c r="N119" s="133"/>
      <c r="O119" s="107"/>
      <c r="P119" s="134"/>
    </row>
    <row r="120" spans="1:16" x14ac:dyDescent="0.25">
      <c r="A120" s="66"/>
      <c r="B120" s="133"/>
      <c r="C120" s="133"/>
      <c r="D120" s="55"/>
      <c r="E120" s="133"/>
      <c r="F120" s="133"/>
      <c r="G120" s="55"/>
      <c r="H120" s="55"/>
      <c r="I120" s="67" t="e">
        <f t="shared" si="8"/>
        <v>#DIV/0!</v>
      </c>
      <c r="J120" s="67" t="e">
        <f>G120/$G$81</f>
        <v>#DIV/0!</v>
      </c>
      <c r="K120" s="68" t="e">
        <f t="shared" si="9"/>
        <v>#DIV/0!</v>
      </c>
      <c r="L120" s="133"/>
      <c r="M120" s="133"/>
      <c r="N120" s="133"/>
      <c r="O120" s="107"/>
      <c r="P120" s="134"/>
    </row>
    <row r="121" spans="1:16" x14ac:dyDescent="0.25">
      <c r="A121" s="132" t="s">
        <v>111</v>
      </c>
      <c r="B121" s="133"/>
      <c r="C121" s="133"/>
      <c r="D121" s="133"/>
      <c r="E121" s="133"/>
      <c r="F121" s="133"/>
      <c r="G121" s="55">
        <f>SUM(G116:G120)</f>
        <v>0</v>
      </c>
      <c r="H121" s="55">
        <f>SUM(H116:H120)</f>
        <v>0</v>
      </c>
      <c r="I121" s="67" t="e">
        <f t="shared" si="8"/>
        <v>#DIV/0!</v>
      </c>
      <c r="J121" s="67" t="e">
        <f>SUM(J116:J120)</f>
        <v>#DIV/0!</v>
      </c>
      <c r="K121" s="68" t="e">
        <f t="shared" si="9"/>
        <v>#DIV/0!</v>
      </c>
      <c r="L121" s="133"/>
      <c r="M121" s="133"/>
      <c r="N121" s="133"/>
      <c r="O121" s="107"/>
      <c r="P121" s="134"/>
    </row>
    <row r="122" spans="1:16" x14ac:dyDescent="0.25">
      <c r="A122" s="141" t="s">
        <v>118</v>
      </c>
      <c r="B122" s="142"/>
      <c r="C122" s="142"/>
      <c r="D122" s="142"/>
      <c r="E122" s="142"/>
      <c r="F122" s="142"/>
      <c r="G122" s="142"/>
      <c r="H122" s="142"/>
      <c r="I122" s="142"/>
      <c r="J122" s="142"/>
      <c r="K122" s="142"/>
      <c r="L122" s="142"/>
      <c r="M122" s="142"/>
      <c r="N122" s="142"/>
      <c r="O122" s="142"/>
      <c r="P122" s="143"/>
    </row>
    <row r="123" spans="1:16" ht="51" x14ac:dyDescent="0.25">
      <c r="A123" s="66" t="s">
        <v>102</v>
      </c>
      <c r="B123" s="133" t="s">
        <v>103</v>
      </c>
      <c r="C123" s="133"/>
      <c r="D123" s="55" t="s">
        <v>104</v>
      </c>
      <c r="E123" s="133" t="s">
        <v>105</v>
      </c>
      <c r="F123" s="133"/>
      <c r="G123" s="55" t="s">
        <v>106</v>
      </c>
      <c r="H123" s="55" t="s">
        <v>107</v>
      </c>
      <c r="I123" s="55" t="s">
        <v>96</v>
      </c>
      <c r="J123" s="55" t="s">
        <v>108</v>
      </c>
      <c r="K123" s="55" t="s">
        <v>109</v>
      </c>
      <c r="L123" s="107" t="s">
        <v>110</v>
      </c>
      <c r="M123" s="107"/>
      <c r="N123" s="107"/>
      <c r="O123" s="107" t="s">
        <v>100</v>
      </c>
      <c r="P123" s="134"/>
    </row>
    <row r="124" spans="1:16" x14ac:dyDescent="0.25">
      <c r="A124" s="66"/>
      <c r="B124" s="133"/>
      <c r="C124" s="133"/>
      <c r="D124" s="55"/>
      <c r="E124" s="133"/>
      <c r="F124" s="133"/>
      <c r="G124" s="55"/>
      <c r="H124" s="55"/>
      <c r="I124" s="67" t="e">
        <f t="shared" ref="I124:I129" si="10">H124/G124</f>
        <v>#DIV/0!</v>
      </c>
      <c r="J124" s="67" t="e">
        <f>G124/$G$81</f>
        <v>#DIV/0!</v>
      </c>
      <c r="K124" s="68" t="e">
        <f t="shared" ref="K124:K129" si="11">J124*I124</f>
        <v>#DIV/0!</v>
      </c>
      <c r="L124" s="133"/>
      <c r="M124" s="133"/>
      <c r="N124" s="133"/>
      <c r="O124" s="107"/>
      <c r="P124" s="134"/>
    </row>
    <row r="125" spans="1:16" x14ac:dyDescent="0.25">
      <c r="A125" s="66"/>
      <c r="B125" s="133"/>
      <c r="C125" s="133"/>
      <c r="D125" s="55"/>
      <c r="E125" s="133"/>
      <c r="F125" s="133"/>
      <c r="G125" s="55"/>
      <c r="H125" s="55"/>
      <c r="I125" s="67" t="e">
        <f t="shared" si="10"/>
        <v>#DIV/0!</v>
      </c>
      <c r="J125" s="67" t="e">
        <f>G125/$G$81</f>
        <v>#DIV/0!</v>
      </c>
      <c r="K125" s="68" t="e">
        <f t="shared" si="11"/>
        <v>#DIV/0!</v>
      </c>
      <c r="L125" s="133"/>
      <c r="M125" s="133"/>
      <c r="N125" s="133"/>
      <c r="O125" s="107"/>
      <c r="P125" s="134"/>
    </row>
    <row r="126" spans="1:16" x14ac:dyDescent="0.25">
      <c r="A126" s="66"/>
      <c r="B126" s="133"/>
      <c r="C126" s="133"/>
      <c r="D126" s="55"/>
      <c r="E126" s="133"/>
      <c r="F126" s="133"/>
      <c r="G126" s="55"/>
      <c r="H126" s="55"/>
      <c r="I126" s="67" t="e">
        <f t="shared" si="10"/>
        <v>#DIV/0!</v>
      </c>
      <c r="J126" s="67" t="e">
        <f>G126/$G$81</f>
        <v>#DIV/0!</v>
      </c>
      <c r="K126" s="68" t="e">
        <f t="shared" si="11"/>
        <v>#DIV/0!</v>
      </c>
      <c r="L126" s="133"/>
      <c r="M126" s="133"/>
      <c r="N126" s="133"/>
      <c r="O126" s="107"/>
      <c r="P126" s="134"/>
    </row>
    <row r="127" spans="1:16" x14ac:dyDescent="0.25">
      <c r="A127" s="66"/>
      <c r="B127" s="133"/>
      <c r="C127" s="133"/>
      <c r="D127" s="55"/>
      <c r="E127" s="133"/>
      <c r="F127" s="133"/>
      <c r="G127" s="55"/>
      <c r="H127" s="55"/>
      <c r="I127" s="67" t="e">
        <f t="shared" si="10"/>
        <v>#DIV/0!</v>
      </c>
      <c r="J127" s="67" t="e">
        <f>G127/$G$81</f>
        <v>#DIV/0!</v>
      </c>
      <c r="K127" s="68" t="e">
        <f t="shared" si="11"/>
        <v>#DIV/0!</v>
      </c>
      <c r="L127" s="133"/>
      <c r="M127" s="133"/>
      <c r="N127" s="133"/>
      <c r="O127" s="107"/>
      <c r="P127" s="134"/>
    </row>
    <row r="128" spans="1:16" x14ac:dyDescent="0.25">
      <c r="A128" s="66"/>
      <c r="B128" s="133"/>
      <c r="C128" s="133"/>
      <c r="D128" s="55"/>
      <c r="E128" s="133"/>
      <c r="F128" s="133"/>
      <c r="G128" s="55"/>
      <c r="H128" s="55"/>
      <c r="I128" s="67" t="e">
        <f t="shared" si="10"/>
        <v>#DIV/0!</v>
      </c>
      <c r="J128" s="67" t="e">
        <f>G128/$G$81</f>
        <v>#DIV/0!</v>
      </c>
      <c r="K128" s="68" t="e">
        <f t="shared" si="11"/>
        <v>#DIV/0!</v>
      </c>
      <c r="L128" s="133"/>
      <c r="M128" s="133"/>
      <c r="N128" s="133"/>
      <c r="O128" s="107"/>
      <c r="P128" s="134"/>
    </row>
    <row r="129" spans="1:16" x14ac:dyDescent="0.25">
      <c r="A129" s="132" t="s">
        <v>111</v>
      </c>
      <c r="B129" s="133"/>
      <c r="C129" s="133"/>
      <c r="D129" s="133"/>
      <c r="E129" s="133"/>
      <c r="F129" s="133"/>
      <c r="G129" s="55">
        <f>SUM(G124:G128)</f>
        <v>0</v>
      </c>
      <c r="H129" s="55">
        <f>SUM(H124:H128)</f>
        <v>0</v>
      </c>
      <c r="I129" s="67" t="e">
        <f t="shared" si="10"/>
        <v>#DIV/0!</v>
      </c>
      <c r="J129" s="67" t="e">
        <f>SUM(J124:J128)</f>
        <v>#DIV/0!</v>
      </c>
      <c r="K129" s="68" t="e">
        <f t="shared" si="11"/>
        <v>#DIV/0!</v>
      </c>
      <c r="L129" s="133"/>
      <c r="M129" s="133"/>
      <c r="N129" s="133"/>
      <c r="O129" s="107"/>
      <c r="P129" s="134"/>
    </row>
    <row r="130" spans="1:16" x14ac:dyDescent="0.25">
      <c r="A130" s="141" t="s">
        <v>119</v>
      </c>
      <c r="B130" s="142"/>
      <c r="C130" s="142"/>
      <c r="D130" s="142"/>
      <c r="E130" s="142"/>
      <c r="F130" s="142"/>
      <c r="G130" s="142"/>
      <c r="H130" s="142"/>
      <c r="I130" s="142"/>
      <c r="J130" s="142"/>
      <c r="K130" s="142"/>
      <c r="L130" s="142"/>
      <c r="M130" s="142"/>
      <c r="N130" s="142"/>
      <c r="O130" s="142"/>
      <c r="P130" s="143"/>
    </row>
    <row r="131" spans="1:16" ht="51" x14ac:dyDescent="0.25">
      <c r="A131" s="66" t="s">
        <v>102</v>
      </c>
      <c r="B131" s="133" t="s">
        <v>103</v>
      </c>
      <c r="C131" s="133"/>
      <c r="D131" s="55" t="s">
        <v>104</v>
      </c>
      <c r="E131" s="133" t="s">
        <v>105</v>
      </c>
      <c r="F131" s="133"/>
      <c r="G131" s="55" t="s">
        <v>106</v>
      </c>
      <c r="H131" s="55" t="s">
        <v>107</v>
      </c>
      <c r="I131" s="55" t="s">
        <v>96</v>
      </c>
      <c r="J131" s="55" t="s">
        <v>108</v>
      </c>
      <c r="K131" s="55" t="s">
        <v>109</v>
      </c>
      <c r="L131" s="107" t="s">
        <v>110</v>
      </c>
      <c r="M131" s="107"/>
      <c r="N131" s="107"/>
      <c r="O131" s="107" t="s">
        <v>100</v>
      </c>
      <c r="P131" s="134"/>
    </row>
    <row r="132" spans="1:16" x14ac:dyDescent="0.25">
      <c r="A132" s="66"/>
      <c r="B132" s="133"/>
      <c r="C132" s="133"/>
      <c r="D132" s="55"/>
      <c r="E132" s="133"/>
      <c r="F132" s="133"/>
      <c r="G132" s="55"/>
      <c r="H132" s="55"/>
      <c r="I132" s="67" t="e">
        <f t="shared" ref="I132:I137" si="12">H132/G132</f>
        <v>#DIV/0!</v>
      </c>
      <c r="J132" s="67" t="e">
        <f>G132/$G$81</f>
        <v>#DIV/0!</v>
      </c>
      <c r="K132" s="68" t="e">
        <f t="shared" ref="K132:K137" si="13">J132*I132</f>
        <v>#DIV/0!</v>
      </c>
      <c r="L132" s="133"/>
      <c r="M132" s="133"/>
      <c r="N132" s="133"/>
      <c r="O132" s="107"/>
      <c r="P132" s="134"/>
    </row>
    <row r="133" spans="1:16" x14ac:dyDescent="0.25">
      <c r="A133" s="66"/>
      <c r="B133" s="133"/>
      <c r="C133" s="133"/>
      <c r="D133" s="55"/>
      <c r="E133" s="133"/>
      <c r="F133" s="133"/>
      <c r="G133" s="55"/>
      <c r="H133" s="55"/>
      <c r="I133" s="67" t="e">
        <f t="shared" si="12"/>
        <v>#DIV/0!</v>
      </c>
      <c r="J133" s="67" t="e">
        <f>G133/$G$81</f>
        <v>#DIV/0!</v>
      </c>
      <c r="K133" s="68" t="e">
        <f t="shared" si="13"/>
        <v>#DIV/0!</v>
      </c>
      <c r="L133" s="133"/>
      <c r="M133" s="133"/>
      <c r="N133" s="133"/>
      <c r="O133" s="107"/>
      <c r="P133" s="134"/>
    </row>
    <row r="134" spans="1:16" x14ac:dyDescent="0.25">
      <c r="A134" s="66"/>
      <c r="B134" s="133"/>
      <c r="C134" s="133"/>
      <c r="D134" s="55"/>
      <c r="E134" s="133"/>
      <c r="F134" s="133"/>
      <c r="G134" s="55"/>
      <c r="H134" s="55"/>
      <c r="I134" s="67" t="e">
        <f t="shared" si="12"/>
        <v>#DIV/0!</v>
      </c>
      <c r="J134" s="67" t="e">
        <f>G134/$G$81</f>
        <v>#DIV/0!</v>
      </c>
      <c r="K134" s="68" t="e">
        <f t="shared" si="13"/>
        <v>#DIV/0!</v>
      </c>
      <c r="L134" s="133"/>
      <c r="M134" s="133"/>
      <c r="N134" s="133"/>
      <c r="O134" s="107"/>
      <c r="P134" s="134"/>
    </row>
    <row r="135" spans="1:16" x14ac:dyDescent="0.25">
      <c r="A135" s="66"/>
      <c r="B135" s="133"/>
      <c r="C135" s="133"/>
      <c r="D135" s="55"/>
      <c r="E135" s="133"/>
      <c r="F135" s="133"/>
      <c r="G135" s="55"/>
      <c r="H135" s="55"/>
      <c r="I135" s="67" t="e">
        <f t="shared" si="12"/>
        <v>#DIV/0!</v>
      </c>
      <c r="J135" s="67" t="e">
        <f>G135/$G$81</f>
        <v>#DIV/0!</v>
      </c>
      <c r="K135" s="68" t="e">
        <f t="shared" si="13"/>
        <v>#DIV/0!</v>
      </c>
      <c r="L135" s="133"/>
      <c r="M135" s="133"/>
      <c r="N135" s="133"/>
      <c r="O135" s="107"/>
      <c r="P135" s="134"/>
    </row>
    <row r="136" spans="1:16" x14ac:dyDescent="0.25">
      <c r="A136" s="66"/>
      <c r="B136" s="133"/>
      <c r="C136" s="133"/>
      <c r="D136" s="55"/>
      <c r="E136" s="133"/>
      <c r="F136" s="133"/>
      <c r="G136" s="55"/>
      <c r="H136" s="55"/>
      <c r="I136" s="67" t="e">
        <f t="shared" si="12"/>
        <v>#DIV/0!</v>
      </c>
      <c r="J136" s="67" t="e">
        <f>G136/$G$81</f>
        <v>#DIV/0!</v>
      </c>
      <c r="K136" s="68" t="e">
        <f t="shared" si="13"/>
        <v>#DIV/0!</v>
      </c>
      <c r="L136" s="133"/>
      <c r="M136" s="133"/>
      <c r="N136" s="133"/>
      <c r="O136" s="107"/>
      <c r="P136" s="134"/>
    </row>
    <row r="137" spans="1:16" x14ac:dyDescent="0.25">
      <c r="A137" s="132" t="s">
        <v>111</v>
      </c>
      <c r="B137" s="133"/>
      <c r="C137" s="133"/>
      <c r="D137" s="133"/>
      <c r="E137" s="133"/>
      <c r="F137" s="133"/>
      <c r="G137" s="55">
        <f>SUM(G132:G136)</f>
        <v>0</v>
      </c>
      <c r="H137" s="55">
        <f>SUM(H132:H136)</f>
        <v>0</v>
      </c>
      <c r="I137" s="67" t="e">
        <f t="shared" si="12"/>
        <v>#DIV/0!</v>
      </c>
      <c r="J137" s="67" t="e">
        <f>SUM(J132:J136)</f>
        <v>#DIV/0!</v>
      </c>
      <c r="K137" s="68" t="e">
        <f t="shared" si="13"/>
        <v>#DIV/0!</v>
      </c>
      <c r="L137" s="133"/>
      <c r="M137" s="133"/>
      <c r="N137" s="133"/>
      <c r="O137" s="107"/>
      <c r="P137" s="134"/>
    </row>
    <row r="138" spans="1:16" x14ac:dyDescent="0.25">
      <c r="A138" s="141" t="s">
        <v>120</v>
      </c>
      <c r="B138" s="142"/>
      <c r="C138" s="142"/>
      <c r="D138" s="142"/>
      <c r="E138" s="142"/>
      <c r="F138" s="142"/>
      <c r="G138" s="142"/>
      <c r="H138" s="142"/>
      <c r="I138" s="142"/>
      <c r="J138" s="142"/>
      <c r="K138" s="142"/>
      <c r="L138" s="142"/>
      <c r="M138" s="142"/>
      <c r="N138" s="142"/>
      <c r="O138" s="142"/>
      <c r="P138" s="143"/>
    </row>
    <row r="139" spans="1:16" ht="51" x14ac:dyDescent="0.25">
      <c r="A139" s="66" t="s">
        <v>102</v>
      </c>
      <c r="B139" s="133" t="s">
        <v>103</v>
      </c>
      <c r="C139" s="133"/>
      <c r="D139" s="55" t="s">
        <v>104</v>
      </c>
      <c r="E139" s="133" t="s">
        <v>105</v>
      </c>
      <c r="F139" s="133"/>
      <c r="G139" s="55" t="s">
        <v>106</v>
      </c>
      <c r="H139" s="55" t="s">
        <v>107</v>
      </c>
      <c r="I139" s="55" t="s">
        <v>96</v>
      </c>
      <c r="J139" s="55" t="s">
        <v>108</v>
      </c>
      <c r="K139" s="55" t="s">
        <v>109</v>
      </c>
      <c r="L139" s="107" t="s">
        <v>110</v>
      </c>
      <c r="M139" s="107"/>
      <c r="N139" s="107"/>
      <c r="O139" s="107" t="s">
        <v>100</v>
      </c>
      <c r="P139" s="134"/>
    </row>
    <row r="140" spans="1:16" x14ac:dyDescent="0.25">
      <c r="A140" s="66"/>
      <c r="B140" s="133"/>
      <c r="C140" s="133"/>
      <c r="D140" s="55"/>
      <c r="E140" s="133"/>
      <c r="F140" s="133"/>
      <c r="G140" s="55"/>
      <c r="H140" s="55"/>
      <c r="I140" s="67" t="e">
        <f t="shared" ref="I140:I145" si="14">H140/G140</f>
        <v>#DIV/0!</v>
      </c>
      <c r="J140" s="67" t="e">
        <f>G140/$G$81</f>
        <v>#DIV/0!</v>
      </c>
      <c r="K140" s="68" t="e">
        <f t="shared" ref="K140:K145" si="15">J140*I140</f>
        <v>#DIV/0!</v>
      </c>
      <c r="L140" s="133"/>
      <c r="M140" s="133"/>
      <c r="N140" s="133"/>
      <c r="O140" s="107"/>
      <c r="P140" s="134"/>
    </row>
    <row r="141" spans="1:16" x14ac:dyDescent="0.25">
      <c r="A141" s="66"/>
      <c r="B141" s="133"/>
      <c r="C141" s="133"/>
      <c r="D141" s="55"/>
      <c r="E141" s="133"/>
      <c r="F141" s="133"/>
      <c r="G141" s="55"/>
      <c r="H141" s="55"/>
      <c r="I141" s="67" t="e">
        <f t="shared" si="14"/>
        <v>#DIV/0!</v>
      </c>
      <c r="J141" s="67" t="e">
        <f>G141/$G$81</f>
        <v>#DIV/0!</v>
      </c>
      <c r="K141" s="68" t="e">
        <f t="shared" si="15"/>
        <v>#DIV/0!</v>
      </c>
      <c r="L141" s="133"/>
      <c r="M141" s="133"/>
      <c r="N141" s="133"/>
      <c r="O141" s="107"/>
      <c r="P141" s="134"/>
    </row>
    <row r="142" spans="1:16" x14ac:dyDescent="0.25">
      <c r="A142" s="66"/>
      <c r="B142" s="133"/>
      <c r="C142" s="133"/>
      <c r="D142" s="55"/>
      <c r="E142" s="133"/>
      <c r="F142" s="133"/>
      <c r="G142" s="55"/>
      <c r="H142" s="55"/>
      <c r="I142" s="67" t="e">
        <f t="shared" si="14"/>
        <v>#DIV/0!</v>
      </c>
      <c r="J142" s="67" t="e">
        <f>G142/$G$81</f>
        <v>#DIV/0!</v>
      </c>
      <c r="K142" s="68" t="e">
        <f t="shared" si="15"/>
        <v>#DIV/0!</v>
      </c>
      <c r="L142" s="133"/>
      <c r="M142" s="133"/>
      <c r="N142" s="133"/>
      <c r="O142" s="107"/>
      <c r="P142" s="134"/>
    </row>
    <row r="143" spans="1:16" x14ac:dyDescent="0.25">
      <c r="A143" s="66"/>
      <c r="B143" s="133"/>
      <c r="C143" s="133"/>
      <c r="D143" s="55"/>
      <c r="E143" s="133"/>
      <c r="F143" s="133"/>
      <c r="G143" s="55"/>
      <c r="H143" s="55"/>
      <c r="I143" s="67" t="e">
        <f t="shared" si="14"/>
        <v>#DIV/0!</v>
      </c>
      <c r="J143" s="67" t="e">
        <f>G143/$G$81</f>
        <v>#DIV/0!</v>
      </c>
      <c r="K143" s="68" t="e">
        <f t="shared" si="15"/>
        <v>#DIV/0!</v>
      </c>
      <c r="L143" s="133"/>
      <c r="M143" s="133"/>
      <c r="N143" s="133"/>
      <c r="O143" s="107"/>
      <c r="P143" s="134"/>
    </row>
    <row r="144" spans="1:16" x14ac:dyDescent="0.25">
      <c r="A144" s="66"/>
      <c r="B144" s="133"/>
      <c r="C144" s="133"/>
      <c r="D144" s="55"/>
      <c r="E144" s="133"/>
      <c r="F144" s="133"/>
      <c r="G144" s="55"/>
      <c r="H144" s="55"/>
      <c r="I144" s="67" t="e">
        <f t="shared" si="14"/>
        <v>#DIV/0!</v>
      </c>
      <c r="J144" s="67" t="e">
        <f>G144/$G$81</f>
        <v>#DIV/0!</v>
      </c>
      <c r="K144" s="68" t="e">
        <f t="shared" si="15"/>
        <v>#DIV/0!</v>
      </c>
      <c r="L144" s="133"/>
      <c r="M144" s="133"/>
      <c r="N144" s="133"/>
      <c r="O144" s="107"/>
      <c r="P144" s="134"/>
    </row>
    <row r="145" spans="1:16" x14ac:dyDescent="0.25">
      <c r="A145" s="150" t="s">
        <v>111</v>
      </c>
      <c r="B145" s="151"/>
      <c r="C145" s="151"/>
      <c r="D145" s="151"/>
      <c r="E145" s="151"/>
      <c r="F145" s="151"/>
      <c r="G145" s="69">
        <f>SUM(G140:G144)</f>
        <v>0</v>
      </c>
      <c r="H145" s="69">
        <f>SUM(H140:H144)</f>
        <v>0</v>
      </c>
      <c r="I145" s="70" t="e">
        <f t="shared" si="14"/>
        <v>#DIV/0!</v>
      </c>
      <c r="J145" s="70" t="e">
        <f>SUM(J140:J144)</f>
        <v>#DIV/0!</v>
      </c>
      <c r="K145" s="71" t="e">
        <f t="shared" si="15"/>
        <v>#DIV/0!</v>
      </c>
      <c r="L145" s="151"/>
      <c r="M145" s="151"/>
      <c r="N145" s="151"/>
      <c r="O145" s="152"/>
      <c r="P145" s="153"/>
    </row>
    <row r="146" spans="1:16" x14ac:dyDescent="0.25">
      <c r="A146" s="154" t="s">
        <v>121</v>
      </c>
      <c r="B146" s="155"/>
      <c r="C146" s="155"/>
      <c r="D146" s="155"/>
      <c r="E146" s="155"/>
      <c r="F146" s="155"/>
      <c r="G146" s="155"/>
      <c r="H146" s="155"/>
      <c r="I146" s="155"/>
      <c r="J146" s="155"/>
      <c r="K146" s="155"/>
      <c r="L146" s="155"/>
      <c r="M146" s="155"/>
      <c r="N146" s="155"/>
      <c r="O146" s="155"/>
      <c r="P146" s="156"/>
    </row>
    <row r="147" spans="1:16" ht="63.75" x14ac:dyDescent="0.25">
      <c r="A147" s="157" t="s">
        <v>122</v>
      </c>
      <c r="B147" s="107"/>
      <c r="C147" s="107"/>
      <c r="D147" s="107"/>
      <c r="E147" s="107"/>
      <c r="F147" s="107"/>
      <c r="G147" s="53" t="s">
        <v>94</v>
      </c>
      <c r="H147" s="53" t="s">
        <v>95</v>
      </c>
      <c r="I147" s="53" t="s">
        <v>96</v>
      </c>
      <c r="J147" s="53" t="s">
        <v>97</v>
      </c>
      <c r="K147" s="53" t="s">
        <v>98</v>
      </c>
      <c r="L147" s="133" t="s">
        <v>99</v>
      </c>
      <c r="M147" s="133"/>
      <c r="N147" s="133"/>
      <c r="O147" s="133" t="s">
        <v>100</v>
      </c>
      <c r="P147" s="158"/>
    </row>
    <row r="148" spans="1:16" x14ac:dyDescent="0.25">
      <c r="A148" s="144" t="e">
        <f>IF(AND(I148&gt;$B$251,I148&lt;=$C$251),$D$251,IF(AND(I148&gt;$B$250,I148&lt;=$C$250),$D$250,IF(AND(I148&gt;$B$249,I148&lt;=$C$249),$D$249,IF(AND(I148&gt;$B$248,I148&lt;=$C$248),$D$248,IF(AND(I148&gt;$B$247,I148&lt;=$C$247),$D$247,"0")))))</f>
        <v>#DIV/0!</v>
      </c>
      <c r="B148" s="145"/>
      <c r="C148" s="145"/>
      <c r="D148" s="145"/>
      <c r="E148" s="145"/>
      <c r="F148" s="145"/>
      <c r="G148" s="63">
        <f>G156+G164+G172+G180+G188</f>
        <v>0</v>
      </c>
      <c r="H148" s="63">
        <f>H156+H164+H172+H180+H188</f>
        <v>0</v>
      </c>
      <c r="I148" s="64" t="e">
        <f>H148/G148</f>
        <v>#DIV/0!</v>
      </c>
      <c r="J148" s="65" t="e">
        <f>G255</f>
        <v>#DIV/0!</v>
      </c>
      <c r="K148" s="64" t="e">
        <f>J148*I148</f>
        <v>#DIV/0!</v>
      </c>
      <c r="L148" s="146"/>
      <c r="M148" s="146"/>
      <c r="N148" s="146"/>
      <c r="O148" s="146"/>
      <c r="P148" s="147"/>
    </row>
    <row r="149" spans="1:16" x14ac:dyDescent="0.25">
      <c r="A149" s="148" t="s">
        <v>123</v>
      </c>
      <c r="B149" s="101"/>
      <c r="C149" s="101"/>
      <c r="D149" s="101"/>
      <c r="E149" s="101"/>
      <c r="F149" s="101"/>
      <c r="G149" s="101"/>
      <c r="H149" s="101"/>
      <c r="I149" s="101"/>
      <c r="J149" s="101"/>
      <c r="K149" s="101"/>
      <c r="L149" s="101"/>
      <c r="M149" s="101"/>
      <c r="N149" s="101"/>
      <c r="O149" s="101"/>
      <c r="P149" s="149"/>
    </row>
    <row r="150" spans="1:16" ht="51" x14ac:dyDescent="0.25">
      <c r="A150" s="66" t="s">
        <v>102</v>
      </c>
      <c r="B150" s="133" t="s">
        <v>103</v>
      </c>
      <c r="C150" s="133"/>
      <c r="D150" s="55" t="s">
        <v>104</v>
      </c>
      <c r="E150" s="133" t="s">
        <v>105</v>
      </c>
      <c r="F150" s="133"/>
      <c r="G150" s="55" t="s">
        <v>106</v>
      </c>
      <c r="H150" s="55" t="s">
        <v>107</v>
      </c>
      <c r="I150" s="55" t="s">
        <v>96</v>
      </c>
      <c r="J150" s="55" t="s">
        <v>108</v>
      </c>
      <c r="K150" s="55" t="s">
        <v>109</v>
      </c>
      <c r="L150" s="107" t="s">
        <v>110</v>
      </c>
      <c r="M150" s="107"/>
      <c r="N150" s="107"/>
      <c r="O150" s="107" t="s">
        <v>100</v>
      </c>
      <c r="P150" s="134"/>
    </row>
    <row r="151" spans="1:16" x14ac:dyDescent="0.25">
      <c r="A151" s="66" t="s">
        <v>124</v>
      </c>
      <c r="B151" s="159" t="s">
        <v>125</v>
      </c>
      <c r="C151" s="159"/>
      <c r="D151" s="55"/>
      <c r="E151" s="133"/>
      <c r="F151" s="133"/>
      <c r="G151" s="55"/>
      <c r="H151" s="55"/>
      <c r="I151" s="67" t="e">
        <f t="shared" ref="I151:I156" si="16">H151/G151</f>
        <v>#DIV/0!</v>
      </c>
      <c r="J151" s="67" t="e">
        <f>G151/$G$148</f>
        <v>#DIV/0!</v>
      </c>
      <c r="K151" s="68" t="e">
        <f t="shared" ref="K151:K156" si="17">J151*I151</f>
        <v>#DIV/0!</v>
      </c>
      <c r="L151" s="133"/>
      <c r="M151" s="133"/>
      <c r="N151" s="133"/>
      <c r="O151" s="107"/>
      <c r="P151" s="134"/>
    </row>
    <row r="152" spans="1:16" x14ac:dyDescent="0.25">
      <c r="A152" s="66"/>
      <c r="B152" s="133"/>
      <c r="C152" s="133"/>
      <c r="D152" s="55"/>
      <c r="E152" s="133"/>
      <c r="F152" s="133"/>
      <c r="G152" s="55"/>
      <c r="H152" s="55"/>
      <c r="I152" s="67" t="e">
        <f t="shared" si="16"/>
        <v>#DIV/0!</v>
      </c>
      <c r="J152" s="67" t="e">
        <f t="shared" ref="J152:J155" si="18">G152/$G$148</f>
        <v>#DIV/0!</v>
      </c>
      <c r="K152" s="68" t="e">
        <f t="shared" si="17"/>
        <v>#DIV/0!</v>
      </c>
      <c r="L152" s="133"/>
      <c r="M152" s="133"/>
      <c r="N152" s="133"/>
      <c r="O152" s="107"/>
      <c r="P152" s="134"/>
    </row>
    <row r="153" spans="1:16" x14ac:dyDescent="0.25">
      <c r="A153" s="66"/>
      <c r="B153" s="133"/>
      <c r="C153" s="133"/>
      <c r="D153" s="55"/>
      <c r="E153" s="133"/>
      <c r="F153" s="133"/>
      <c r="G153" s="55"/>
      <c r="H153" s="55"/>
      <c r="I153" s="67" t="e">
        <f t="shared" si="16"/>
        <v>#DIV/0!</v>
      </c>
      <c r="J153" s="67" t="e">
        <f t="shared" si="18"/>
        <v>#DIV/0!</v>
      </c>
      <c r="K153" s="68" t="e">
        <f t="shared" si="17"/>
        <v>#DIV/0!</v>
      </c>
      <c r="L153" s="133"/>
      <c r="M153" s="133"/>
      <c r="N153" s="133"/>
      <c r="O153" s="107"/>
      <c r="P153" s="134"/>
    </row>
    <row r="154" spans="1:16" x14ac:dyDescent="0.25">
      <c r="A154" s="66"/>
      <c r="B154" s="133"/>
      <c r="C154" s="133"/>
      <c r="D154" s="55"/>
      <c r="E154" s="133"/>
      <c r="F154" s="133"/>
      <c r="G154" s="55"/>
      <c r="H154" s="55"/>
      <c r="I154" s="67" t="e">
        <f t="shared" si="16"/>
        <v>#DIV/0!</v>
      </c>
      <c r="J154" s="67" t="e">
        <f t="shared" si="18"/>
        <v>#DIV/0!</v>
      </c>
      <c r="K154" s="68" t="e">
        <f t="shared" si="17"/>
        <v>#DIV/0!</v>
      </c>
      <c r="L154" s="133"/>
      <c r="M154" s="133"/>
      <c r="N154" s="133"/>
      <c r="O154" s="107"/>
      <c r="P154" s="134"/>
    </row>
    <row r="155" spans="1:16" x14ac:dyDescent="0.25">
      <c r="A155" s="66"/>
      <c r="B155" s="133"/>
      <c r="C155" s="133"/>
      <c r="D155" s="55"/>
      <c r="E155" s="133"/>
      <c r="F155" s="133"/>
      <c r="G155" s="55"/>
      <c r="H155" s="55"/>
      <c r="I155" s="67" t="e">
        <f t="shared" si="16"/>
        <v>#DIV/0!</v>
      </c>
      <c r="J155" s="67" t="e">
        <f t="shared" si="18"/>
        <v>#DIV/0!</v>
      </c>
      <c r="K155" s="68" t="e">
        <f t="shared" si="17"/>
        <v>#DIV/0!</v>
      </c>
      <c r="L155" s="133"/>
      <c r="M155" s="133"/>
      <c r="N155" s="133"/>
      <c r="O155" s="107"/>
      <c r="P155" s="134"/>
    </row>
    <row r="156" spans="1:16" x14ac:dyDescent="0.25">
      <c r="A156" s="132" t="s">
        <v>111</v>
      </c>
      <c r="B156" s="133"/>
      <c r="C156" s="133"/>
      <c r="D156" s="133"/>
      <c r="E156" s="133"/>
      <c r="F156" s="133"/>
      <c r="G156" s="55">
        <f>SUM(G151:G155)</f>
        <v>0</v>
      </c>
      <c r="H156" s="55">
        <f>SUM(H151:H155)</f>
        <v>0</v>
      </c>
      <c r="I156" s="67" t="e">
        <f t="shared" si="16"/>
        <v>#DIV/0!</v>
      </c>
      <c r="J156" s="67" t="e">
        <f>SUM(J151:J155)</f>
        <v>#DIV/0!</v>
      </c>
      <c r="K156" s="68" t="e">
        <f t="shared" si="17"/>
        <v>#DIV/0!</v>
      </c>
      <c r="L156" s="133"/>
      <c r="M156" s="133"/>
      <c r="N156" s="133"/>
      <c r="O156" s="107"/>
      <c r="P156" s="134"/>
    </row>
    <row r="157" spans="1:16" x14ac:dyDescent="0.25">
      <c r="A157" s="141" t="s">
        <v>126</v>
      </c>
      <c r="B157" s="142"/>
      <c r="C157" s="142"/>
      <c r="D157" s="142"/>
      <c r="E157" s="142"/>
      <c r="F157" s="142"/>
      <c r="G157" s="142"/>
      <c r="H157" s="142"/>
      <c r="I157" s="142"/>
      <c r="J157" s="142"/>
      <c r="K157" s="142"/>
      <c r="L157" s="142"/>
      <c r="M157" s="142"/>
      <c r="N157" s="142"/>
      <c r="O157" s="142"/>
      <c r="P157" s="143"/>
    </row>
    <row r="158" spans="1:16" ht="51" x14ac:dyDescent="0.25">
      <c r="A158" s="66" t="s">
        <v>102</v>
      </c>
      <c r="B158" s="133" t="s">
        <v>103</v>
      </c>
      <c r="C158" s="133"/>
      <c r="D158" s="55" t="s">
        <v>104</v>
      </c>
      <c r="E158" s="133" t="s">
        <v>105</v>
      </c>
      <c r="F158" s="133"/>
      <c r="G158" s="55" t="s">
        <v>106</v>
      </c>
      <c r="H158" s="55" t="s">
        <v>107</v>
      </c>
      <c r="I158" s="55" t="s">
        <v>96</v>
      </c>
      <c r="J158" s="55" t="s">
        <v>108</v>
      </c>
      <c r="K158" s="55" t="s">
        <v>109</v>
      </c>
      <c r="L158" s="107" t="s">
        <v>110</v>
      </c>
      <c r="M158" s="107"/>
      <c r="N158" s="107"/>
      <c r="O158" s="107" t="s">
        <v>100</v>
      </c>
      <c r="P158" s="134"/>
    </row>
    <row r="159" spans="1:16" x14ac:dyDescent="0.25">
      <c r="A159" s="66"/>
      <c r="B159" s="133"/>
      <c r="C159" s="133"/>
      <c r="D159" s="55"/>
      <c r="E159" s="133"/>
      <c r="F159" s="133"/>
      <c r="G159" s="55"/>
      <c r="H159" s="55"/>
      <c r="I159" s="67" t="e">
        <f t="shared" ref="I159:I164" si="19">H159/G159</f>
        <v>#DIV/0!</v>
      </c>
      <c r="J159" s="67" t="e">
        <f>G159/$G$148</f>
        <v>#DIV/0!</v>
      </c>
      <c r="K159" s="68" t="e">
        <f t="shared" ref="K159:K164" si="20">J159*I159</f>
        <v>#DIV/0!</v>
      </c>
      <c r="L159" s="133"/>
      <c r="M159" s="133"/>
      <c r="N159" s="133"/>
      <c r="O159" s="107"/>
      <c r="P159" s="134"/>
    </row>
    <row r="160" spans="1:16" x14ac:dyDescent="0.25">
      <c r="A160" s="66"/>
      <c r="B160" s="133"/>
      <c r="C160" s="133"/>
      <c r="D160" s="55"/>
      <c r="E160" s="133"/>
      <c r="F160" s="133"/>
      <c r="G160" s="55"/>
      <c r="H160" s="55"/>
      <c r="I160" s="67" t="e">
        <f t="shared" si="19"/>
        <v>#DIV/0!</v>
      </c>
      <c r="J160" s="67" t="e">
        <f t="shared" ref="J160:J163" si="21">G160/$G$148</f>
        <v>#DIV/0!</v>
      </c>
      <c r="K160" s="68" t="e">
        <f t="shared" si="20"/>
        <v>#DIV/0!</v>
      </c>
      <c r="L160" s="133"/>
      <c r="M160" s="133"/>
      <c r="N160" s="133"/>
      <c r="O160" s="107"/>
      <c r="P160" s="134"/>
    </row>
    <row r="161" spans="1:16" x14ac:dyDescent="0.25">
      <c r="A161" s="66"/>
      <c r="B161" s="133"/>
      <c r="C161" s="133"/>
      <c r="D161" s="55"/>
      <c r="E161" s="133"/>
      <c r="F161" s="133"/>
      <c r="G161" s="55"/>
      <c r="H161" s="55"/>
      <c r="I161" s="67" t="e">
        <f t="shared" si="19"/>
        <v>#DIV/0!</v>
      </c>
      <c r="J161" s="67" t="e">
        <f t="shared" si="21"/>
        <v>#DIV/0!</v>
      </c>
      <c r="K161" s="68" t="e">
        <f t="shared" si="20"/>
        <v>#DIV/0!</v>
      </c>
      <c r="L161" s="133"/>
      <c r="M161" s="133"/>
      <c r="N161" s="133"/>
      <c r="O161" s="107"/>
      <c r="P161" s="134"/>
    </row>
    <row r="162" spans="1:16" x14ac:dyDescent="0.25">
      <c r="A162" s="66"/>
      <c r="B162" s="133"/>
      <c r="C162" s="133"/>
      <c r="D162" s="55"/>
      <c r="E162" s="133"/>
      <c r="F162" s="133"/>
      <c r="G162" s="55"/>
      <c r="H162" s="55"/>
      <c r="I162" s="67" t="e">
        <f t="shared" si="19"/>
        <v>#DIV/0!</v>
      </c>
      <c r="J162" s="67" t="e">
        <f t="shared" si="21"/>
        <v>#DIV/0!</v>
      </c>
      <c r="K162" s="68" t="e">
        <f t="shared" si="20"/>
        <v>#DIV/0!</v>
      </c>
      <c r="L162" s="133"/>
      <c r="M162" s="133"/>
      <c r="N162" s="133"/>
      <c r="O162" s="107"/>
      <c r="P162" s="134"/>
    </row>
    <row r="163" spans="1:16" x14ac:dyDescent="0.25">
      <c r="A163" s="66"/>
      <c r="B163" s="133"/>
      <c r="C163" s="133"/>
      <c r="D163" s="55"/>
      <c r="E163" s="133"/>
      <c r="F163" s="133"/>
      <c r="G163" s="55"/>
      <c r="H163" s="55"/>
      <c r="I163" s="67" t="e">
        <f t="shared" si="19"/>
        <v>#DIV/0!</v>
      </c>
      <c r="J163" s="67" t="e">
        <f t="shared" si="21"/>
        <v>#DIV/0!</v>
      </c>
      <c r="K163" s="68" t="e">
        <f t="shared" si="20"/>
        <v>#DIV/0!</v>
      </c>
      <c r="L163" s="133"/>
      <c r="M163" s="133"/>
      <c r="N163" s="133"/>
      <c r="O163" s="107"/>
      <c r="P163" s="134"/>
    </row>
    <row r="164" spans="1:16" x14ac:dyDescent="0.25">
      <c r="A164" s="132" t="s">
        <v>111</v>
      </c>
      <c r="B164" s="133"/>
      <c r="C164" s="133"/>
      <c r="D164" s="133"/>
      <c r="E164" s="133"/>
      <c r="F164" s="133"/>
      <c r="G164" s="55">
        <f>SUM(G159:G163)</f>
        <v>0</v>
      </c>
      <c r="H164" s="55">
        <f>SUM(H159:H163)</f>
        <v>0</v>
      </c>
      <c r="I164" s="67" t="e">
        <f t="shared" si="19"/>
        <v>#DIV/0!</v>
      </c>
      <c r="J164" s="67" t="e">
        <f>SUM(J159:J163)</f>
        <v>#DIV/0!</v>
      </c>
      <c r="K164" s="68" t="e">
        <f t="shared" si="20"/>
        <v>#DIV/0!</v>
      </c>
      <c r="L164" s="133"/>
      <c r="M164" s="133"/>
      <c r="N164" s="133"/>
      <c r="O164" s="107"/>
      <c r="P164" s="134"/>
    </row>
    <row r="165" spans="1:16" x14ac:dyDescent="0.25">
      <c r="A165" s="141" t="s">
        <v>127</v>
      </c>
      <c r="B165" s="142"/>
      <c r="C165" s="142"/>
      <c r="D165" s="142"/>
      <c r="E165" s="142"/>
      <c r="F165" s="142"/>
      <c r="G165" s="142"/>
      <c r="H165" s="142"/>
      <c r="I165" s="142"/>
      <c r="J165" s="142"/>
      <c r="K165" s="142"/>
      <c r="L165" s="142"/>
      <c r="M165" s="142"/>
      <c r="N165" s="142"/>
      <c r="O165" s="142"/>
      <c r="P165" s="143"/>
    </row>
    <row r="166" spans="1:16" ht="51" x14ac:dyDescent="0.25">
      <c r="A166" s="66" t="s">
        <v>102</v>
      </c>
      <c r="B166" s="133" t="s">
        <v>103</v>
      </c>
      <c r="C166" s="133"/>
      <c r="D166" s="55" t="s">
        <v>104</v>
      </c>
      <c r="E166" s="133" t="s">
        <v>105</v>
      </c>
      <c r="F166" s="133"/>
      <c r="G166" s="55" t="s">
        <v>106</v>
      </c>
      <c r="H166" s="55" t="s">
        <v>107</v>
      </c>
      <c r="I166" s="55" t="s">
        <v>96</v>
      </c>
      <c r="J166" s="55" t="s">
        <v>108</v>
      </c>
      <c r="K166" s="55" t="s">
        <v>109</v>
      </c>
      <c r="L166" s="107" t="s">
        <v>110</v>
      </c>
      <c r="M166" s="107"/>
      <c r="N166" s="107"/>
      <c r="O166" s="107" t="s">
        <v>100</v>
      </c>
      <c r="P166" s="134"/>
    </row>
    <row r="167" spans="1:16" x14ac:dyDescent="0.25">
      <c r="A167" s="66"/>
      <c r="B167" s="133"/>
      <c r="C167" s="133"/>
      <c r="D167" s="55"/>
      <c r="E167" s="133"/>
      <c r="F167" s="133"/>
      <c r="G167" s="55"/>
      <c r="H167" s="55"/>
      <c r="I167" s="67" t="e">
        <f t="shared" ref="I167:I172" si="22">H167/G167</f>
        <v>#DIV/0!</v>
      </c>
      <c r="J167" s="67" t="e">
        <f>G167/$G$148</f>
        <v>#DIV/0!</v>
      </c>
      <c r="K167" s="68" t="e">
        <f t="shared" ref="K167:K172" si="23">J167*I167</f>
        <v>#DIV/0!</v>
      </c>
      <c r="L167" s="133"/>
      <c r="M167" s="133"/>
      <c r="N167" s="133"/>
      <c r="O167" s="107"/>
      <c r="P167" s="134"/>
    </row>
    <row r="168" spans="1:16" x14ac:dyDescent="0.25">
      <c r="A168" s="66"/>
      <c r="B168" s="133"/>
      <c r="C168" s="133"/>
      <c r="D168" s="55"/>
      <c r="E168" s="133"/>
      <c r="F168" s="133"/>
      <c r="G168" s="55"/>
      <c r="H168" s="55"/>
      <c r="I168" s="67" t="e">
        <f t="shared" si="22"/>
        <v>#DIV/0!</v>
      </c>
      <c r="J168" s="67" t="e">
        <f t="shared" ref="J168:J171" si="24">G168/$G$148</f>
        <v>#DIV/0!</v>
      </c>
      <c r="K168" s="68" t="e">
        <f t="shared" si="23"/>
        <v>#DIV/0!</v>
      </c>
      <c r="L168" s="133"/>
      <c r="M168" s="133"/>
      <c r="N168" s="133"/>
      <c r="O168" s="107"/>
      <c r="P168" s="134"/>
    </row>
    <row r="169" spans="1:16" x14ac:dyDescent="0.25">
      <c r="A169" s="66"/>
      <c r="B169" s="133"/>
      <c r="C169" s="133"/>
      <c r="D169" s="55"/>
      <c r="E169" s="133"/>
      <c r="F169" s="133"/>
      <c r="G169" s="55"/>
      <c r="H169" s="55"/>
      <c r="I169" s="67" t="e">
        <f t="shared" si="22"/>
        <v>#DIV/0!</v>
      </c>
      <c r="J169" s="67" t="e">
        <f t="shared" si="24"/>
        <v>#DIV/0!</v>
      </c>
      <c r="K169" s="68" t="e">
        <f t="shared" si="23"/>
        <v>#DIV/0!</v>
      </c>
      <c r="L169" s="133"/>
      <c r="M169" s="133"/>
      <c r="N169" s="133"/>
      <c r="O169" s="107"/>
      <c r="P169" s="134"/>
    </row>
    <row r="170" spans="1:16" x14ac:dyDescent="0.25">
      <c r="A170" s="66"/>
      <c r="B170" s="133"/>
      <c r="C170" s="133"/>
      <c r="D170" s="55"/>
      <c r="E170" s="133"/>
      <c r="F170" s="133"/>
      <c r="G170" s="55"/>
      <c r="H170" s="55"/>
      <c r="I170" s="67" t="e">
        <f t="shared" si="22"/>
        <v>#DIV/0!</v>
      </c>
      <c r="J170" s="67" t="e">
        <f t="shared" si="24"/>
        <v>#DIV/0!</v>
      </c>
      <c r="K170" s="68" t="e">
        <f t="shared" si="23"/>
        <v>#DIV/0!</v>
      </c>
      <c r="L170" s="133"/>
      <c r="M170" s="133"/>
      <c r="N170" s="133"/>
      <c r="O170" s="107"/>
      <c r="P170" s="134"/>
    </row>
    <row r="171" spans="1:16" x14ac:dyDescent="0.25">
      <c r="A171" s="66"/>
      <c r="B171" s="133"/>
      <c r="C171" s="133"/>
      <c r="D171" s="55"/>
      <c r="E171" s="133"/>
      <c r="F171" s="133"/>
      <c r="G171" s="55"/>
      <c r="H171" s="55"/>
      <c r="I171" s="67" t="e">
        <f t="shared" si="22"/>
        <v>#DIV/0!</v>
      </c>
      <c r="J171" s="67" t="e">
        <f t="shared" si="24"/>
        <v>#DIV/0!</v>
      </c>
      <c r="K171" s="68" t="e">
        <f t="shared" si="23"/>
        <v>#DIV/0!</v>
      </c>
      <c r="L171" s="133"/>
      <c r="M171" s="133"/>
      <c r="N171" s="133"/>
      <c r="O171" s="107"/>
      <c r="P171" s="134"/>
    </row>
    <row r="172" spans="1:16" x14ac:dyDescent="0.25">
      <c r="A172" s="132" t="s">
        <v>111</v>
      </c>
      <c r="B172" s="133"/>
      <c r="C172" s="133"/>
      <c r="D172" s="133"/>
      <c r="E172" s="133"/>
      <c r="F172" s="133"/>
      <c r="G172" s="55">
        <f>SUM(G167:G171)</f>
        <v>0</v>
      </c>
      <c r="H172" s="55">
        <f>SUM(H167:H171)</f>
        <v>0</v>
      </c>
      <c r="I172" s="67" t="e">
        <f t="shared" si="22"/>
        <v>#DIV/0!</v>
      </c>
      <c r="J172" s="67" t="e">
        <f>SUM(J167:J171)</f>
        <v>#DIV/0!</v>
      </c>
      <c r="K172" s="68" t="e">
        <f t="shared" si="23"/>
        <v>#DIV/0!</v>
      </c>
      <c r="L172" s="133"/>
      <c r="M172" s="133"/>
      <c r="N172" s="133"/>
      <c r="O172" s="107"/>
      <c r="P172" s="134"/>
    </row>
    <row r="173" spans="1:16" x14ac:dyDescent="0.25">
      <c r="A173" s="141" t="s">
        <v>128</v>
      </c>
      <c r="B173" s="142"/>
      <c r="C173" s="142"/>
      <c r="D173" s="142"/>
      <c r="E173" s="142"/>
      <c r="F173" s="142"/>
      <c r="G173" s="142"/>
      <c r="H173" s="142"/>
      <c r="I173" s="142"/>
      <c r="J173" s="142"/>
      <c r="K173" s="142"/>
      <c r="L173" s="142"/>
      <c r="M173" s="142"/>
      <c r="N173" s="142"/>
      <c r="O173" s="142"/>
      <c r="P173" s="143"/>
    </row>
    <row r="174" spans="1:16" ht="51" x14ac:dyDescent="0.25">
      <c r="A174" s="66" t="s">
        <v>102</v>
      </c>
      <c r="B174" s="133" t="s">
        <v>103</v>
      </c>
      <c r="C174" s="133"/>
      <c r="D174" s="55" t="s">
        <v>104</v>
      </c>
      <c r="E174" s="133" t="s">
        <v>105</v>
      </c>
      <c r="F174" s="133"/>
      <c r="G174" s="55" t="s">
        <v>106</v>
      </c>
      <c r="H174" s="55" t="s">
        <v>107</v>
      </c>
      <c r="I174" s="55" t="s">
        <v>96</v>
      </c>
      <c r="J174" s="55" t="s">
        <v>108</v>
      </c>
      <c r="K174" s="55" t="s">
        <v>109</v>
      </c>
      <c r="L174" s="107" t="s">
        <v>110</v>
      </c>
      <c r="M174" s="107"/>
      <c r="N174" s="107"/>
      <c r="O174" s="107" t="s">
        <v>100</v>
      </c>
      <c r="P174" s="134"/>
    </row>
    <row r="175" spans="1:16" x14ac:dyDescent="0.25">
      <c r="A175" s="66"/>
      <c r="B175" s="133"/>
      <c r="C175" s="133"/>
      <c r="D175" s="55"/>
      <c r="E175" s="133"/>
      <c r="F175" s="133"/>
      <c r="G175" s="55"/>
      <c r="H175" s="55"/>
      <c r="I175" s="67" t="e">
        <f t="shared" ref="I175:I180" si="25">H175/G175</f>
        <v>#DIV/0!</v>
      </c>
      <c r="J175" s="67" t="e">
        <f>G175/$G$148</f>
        <v>#DIV/0!</v>
      </c>
      <c r="K175" s="68" t="e">
        <f t="shared" ref="K175:K180" si="26">J175*I175</f>
        <v>#DIV/0!</v>
      </c>
      <c r="L175" s="133"/>
      <c r="M175" s="133"/>
      <c r="N175" s="133"/>
      <c r="O175" s="107"/>
      <c r="P175" s="134"/>
    </row>
    <row r="176" spans="1:16" x14ac:dyDescent="0.25">
      <c r="A176" s="66"/>
      <c r="B176" s="133"/>
      <c r="C176" s="133"/>
      <c r="D176" s="55"/>
      <c r="E176" s="133"/>
      <c r="F176" s="133"/>
      <c r="G176" s="55"/>
      <c r="H176" s="55"/>
      <c r="I176" s="67" t="e">
        <f t="shared" si="25"/>
        <v>#DIV/0!</v>
      </c>
      <c r="J176" s="67" t="e">
        <f t="shared" ref="J176:J179" si="27">G176/$G$148</f>
        <v>#DIV/0!</v>
      </c>
      <c r="K176" s="68" t="e">
        <f t="shared" si="26"/>
        <v>#DIV/0!</v>
      </c>
      <c r="L176" s="133"/>
      <c r="M176" s="133"/>
      <c r="N176" s="133"/>
      <c r="O176" s="107"/>
      <c r="P176" s="134"/>
    </row>
    <row r="177" spans="1:16" x14ac:dyDescent="0.25">
      <c r="A177" s="66"/>
      <c r="B177" s="133"/>
      <c r="C177" s="133"/>
      <c r="D177" s="55"/>
      <c r="E177" s="133"/>
      <c r="F177" s="133"/>
      <c r="G177" s="55"/>
      <c r="H177" s="55"/>
      <c r="I177" s="67" t="e">
        <f t="shared" si="25"/>
        <v>#DIV/0!</v>
      </c>
      <c r="J177" s="67" t="e">
        <f t="shared" si="27"/>
        <v>#DIV/0!</v>
      </c>
      <c r="K177" s="68" t="e">
        <f t="shared" si="26"/>
        <v>#DIV/0!</v>
      </c>
      <c r="L177" s="133"/>
      <c r="M177" s="133"/>
      <c r="N177" s="133"/>
      <c r="O177" s="107"/>
      <c r="P177" s="134"/>
    </row>
    <row r="178" spans="1:16" x14ac:dyDescent="0.25">
      <c r="A178" s="66"/>
      <c r="B178" s="133"/>
      <c r="C178" s="133"/>
      <c r="D178" s="55"/>
      <c r="E178" s="133"/>
      <c r="F178" s="133"/>
      <c r="G178" s="55"/>
      <c r="H178" s="55"/>
      <c r="I178" s="67" t="e">
        <f t="shared" si="25"/>
        <v>#DIV/0!</v>
      </c>
      <c r="J178" s="67" t="e">
        <f t="shared" si="27"/>
        <v>#DIV/0!</v>
      </c>
      <c r="K178" s="68" t="e">
        <f t="shared" si="26"/>
        <v>#DIV/0!</v>
      </c>
      <c r="L178" s="133"/>
      <c r="M178" s="133"/>
      <c r="N178" s="133"/>
      <c r="O178" s="107"/>
      <c r="P178" s="134"/>
    </row>
    <row r="179" spans="1:16" x14ac:dyDescent="0.25">
      <c r="A179" s="66"/>
      <c r="B179" s="133"/>
      <c r="C179" s="133"/>
      <c r="D179" s="55"/>
      <c r="E179" s="133"/>
      <c r="F179" s="133"/>
      <c r="G179" s="55"/>
      <c r="H179" s="55"/>
      <c r="I179" s="67" t="e">
        <f t="shared" si="25"/>
        <v>#DIV/0!</v>
      </c>
      <c r="J179" s="67" t="e">
        <f t="shared" si="27"/>
        <v>#DIV/0!</v>
      </c>
      <c r="K179" s="68" t="e">
        <f t="shared" si="26"/>
        <v>#DIV/0!</v>
      </c>
      <c r="L179" s="133"/>
      <c r="M179" s="133"/>
      <c r="N179" s="133"/>
      <c r="O179" s="107"/>
      <c r="P179" s="134"/>
    </row>
    <row r="180" spans="1:16" x14ac:dyDescent="0.25">
      <c r="A180" s="132" t="s">
        <v>111</v>
      </c>
      <c r="B180" s="133"/>
      <c r="C180" s="133"/>
      <c r="D180" s="133"/>
      <c r="E180" s="133"/>
      <c r="F180" s="133"/>
      <c r="G180" s="55">
        <f>SUM(G175:G179)</f>
        <v>0</v>
      </c>
      <c r="H180" s="55">
        <f>SUM(H175:H179)</f>
        <v>0</v>
      </c>
      <c r="I180" s="67" t="e">
        <f t="shared" si="25"/>
        <v>#DIV/0!</v>
      </c>
      <c r="J180" s="67" t="e">
        <f>SUM(J175:J179)</f>
        <v>#DIV/0!</v>
      </c>
      <c r="K180" s="68" t="e">
        <f t="shared" si="26"/>
        <v>#DIV/0!</v>
      </c>
      <c r="L180" s="133"/>
      <c r="M180" s="133"/>
      <c r="N180" s="133"/>
      <c r="O180" s="107"/>
      <c r="P180" s="134"/>
    </row>
    <row r="181" spans="1:16" x14ac:dyDescent="0.25">
      <c r="A181" s="141" t="s">
        <v>129</v>
      </c>
      <c r="B181" s="142"/>
      <c r="C181" s="142"/>
      <c r="D181" s="142"/>
      <c r="E181" s="142"/>
      <c r="F181" s="142"/>
      <c r="G181" s="142"/>
      <c r="H181" s="142"/>
      <c r="I181" s="142"/>
      <c r="J181" s="142"/>
      <c r="K181" s="142"/>
      <c r="L181" s="142"/>
      <c r="M181" s="142"/>
      <c r="N181" s="142"/>
      <c r="O181" s="142"/>
      <c r="P181" s="143"/>
    </row>
    <row r="182" spans="1:16" ht="51" x14ac:dyDescent="0.25">
      <c r="A182" s="66" t="s">
        <v>102</v>
      </c>
      <c r="B182" s="133" t="s">
        <v>103</v>
      </c>
      <c r="C182" s="133"/>
      <c r="D182" s="55" t="s">
        <v>104</v>
      </c>
      <c r="E182" s="133" t="s">
        <v>105</v>
      </c>
      <c r="F182" s="133"/>
      <c r="G182" s="55" t="s">
        <v>106</v>
      </c>
      <c r="H182" s="55" t="s">
        <v>107</v>
      </c>
      <c r="I182" s="55" t="s">
        <v>96</v>
      </c>
      <c r="J182" s="55" t="s">
        <v>108</v>
      </c>
      <c r="K182" s="55" t="s">
        <v>109</v>
      </c>
      <c r="L182" s="107" t="s">
        <v>110</v>
      </c>
      <c r="M182" s="107"/>
      <c r="N182" s="107"/>
      <c r="O182" s="107" t="s">
        <v>100</v>
      </c>
      <c r="P182" s="134"/>
    </row>
    <row r="183" spans="1:16" x14ac:dyDescent="0.25">
      <c r="A183" s="66"/>
      <c r="B183" s="133"/>
      <c r="C183" s="133"/>
      <c r="D183" s="55"/>
      <c r="E183" s="133"/>
      <c r="F183" s="133"/>
      <c r="G183" s="55"/>
      <c r="H183" s="55"/>
      <c r="I183" s="67" t="e">
        <f t="shared" ref="I183:I188" si="28">H183/G183</f>
        <v>#DIV/0!</v>
      </c>
      <c r="J183" s="67" t="e">
        <f>G183/$G$148</f>
        <v>#DIV/0!</v>
      </c>
      <c r="K183" s="68" t="e">
        <f t="shared" ref="K183:K188" si="29">J183*I183</f>
        <v>#DIV/0!</v>
      </c>
      <c r="L183" s="133"/>
      <c r="M183" s="133"/>
      <c r="N183" s="133"/>
      <c r="O183" s="107"/>
      <c r="P183" s="134"/>
    </row>
    <row r="184" spans="1:16" x14ac:dyDescent="0.25">
      <c r="A184" s="66"/>
      <c r="B184" s="133"/>
      <c r="C184" s="133"/>
      <c r="D184" s="55"/>
      <c r="E184" s="133"/>
      <c r="F184" s="133"/>
      <c r="G184" s="55"/>
      <c r="H184" s="55"/>
      <c r="I184" s="67" t="e">
        <f t="shared" si="28"/>
        <v>#DIV/0!</v>
      </c>
      <c r="J184" s="67" t="e">
        <f t="shared" ref="J184:J187" si="30">G184/$G$148</f>
        <v>#DIV/0!</v>
      </c>
      <c r="K184" s="68" t="e">
        <f t="shared" si="29"/>
        <v>#DIV/0!</v>
      </c>
      <c r="L184" s="133"/>
      <c r="M184" s="133"/>
      <c r="N184" s="133"/>
      <c r="O184" s="107"/>
      <c r="P184" s="134"/>
    </row>
    <row r="185" spans="1:16" x14ac:dyDescent="0.25">
      <c r="A185" s="66"/>
      <c r="B185" s="133"/>
      <c r="C185" s="133"/>
      <c r="D185" s="55"/>
      <c r="E185" s="133"/>
      <c r="F185" s="133"/>
      <c r="G185" s="55"/>
      <c r="H185" s="55"/>
      <c r="I185" s="67" t="e">
        <f t="shared" si="28"/>
        <v>#DIV/0!</v>
      </c>
      <c r="J185" s="67" t="e">
        <f t="shared" si="30"/>
        <v>#DIV/0!</v>
      </c>
      <c r="K185" s="68" t="e">
        <f t="shared" si="29"/>
        <v>#DIV/0!</v>
      </c>
      <c r="L185" s="133"/>
      <c r="M185" s="133"/>
      <c r="N185" s="133"/>
      <c r="O185" s="107"/>
      <c r="P185" s="134"/>
    </row>
    <row r="186" spans="1:16" x14ac:dyDescent="0.25">
      <c r="A186" s="66"/>
      <c r="B186" s="133"/>
      <c r="C186" s="133"/>
      <c r="D186" s="55"/>
      <c r="E186" s="133"/>
      <c r="F186" s="133"/>
      <c r="G186" s="55"/>
      <c r="H186" s="55"/>
      <c r="I186" s="67" t="e">
        <f t="shared" si="28"/>
        <v>#DIV/0!</v>
      </c>
      <c r="J186" s="67" t="e">
        <f t="shared" si="30"/>
        <v>#DIV/0!</v>
      </c>
      <c r="K186" s="68" t="e">
        <f t="shared" si="29"/>
        <v>#DIV/0!</v>
      </c>
      <c r="L186" s="133"/>
      <c r="M186" s="133"/>
      <c r="N186" s="133"/>
      <c r="O186" s="107"/>
      <c r="P186" s="134"/>
    </row>
    <row r="187" spans="1:16" x14ac:dyDescent="0.25">
      <c r="A187" s="66"/>
      <c r="B187" s="133"/>
      <c r="C187" s="133"/>
      <c r="D187" s="55"/>
      <c r="E187" s="133"/>
      <c r="F187" s="133"/>
      <c r="G187" s="55"/>
      <c r="H187" s="55"/>
      <c r="I187" s="67" t="e">
        <f t="shared" si="28"/>
        <v>#DIV/0!</v>
      </c>
      <c r="J187" s="67" t="e">
        <f t="shared" si="30"/>
        <v>#DIV/0!</v>
      </c>
      <c r="K187" s="68" t="e">
        <f t="shared" si="29"/>
        <v>#DIV/0!</v>
      </c>
      <c r="L187" s="133"/>
      <c r="M187" s="133"/>
      <c r="N187" s="133"/>
      <c r="O187" s="107"/>
      <c r="P187" s="134"/>
    </row>
    <row r="188" spans="1:16" x14ac:dyDescent="0.25">
      <c r="A188" s="132" t="s">
        <v>111</v>
      </c>
      <c r="B188" s="133"/>
      <c r="C188" s="133"/>
      <c r="D188" s="133"/>
      <c r="E188" s="133"/>
      <c r="F188" s="133"/>
      <c r="G188" s="55">
        <f>SUM(G183:G187)</f>
        <v>0</v>
      </c>
      <c r="H188" s="55">
        <f>SUM(H183:H187)</f>
        <v>0</v>
      </c>
      <c r="I188" s="67" t="e">
        <f t="shared" si="28"/>
        <v>#DIV/0!</v>
      </c>
      <c r="J188" s="67" t="e">
        <f>SUM(J183:J187)</f>
        <v>#DIV/0!</v>
      </c>
      <c r="K188" s="68" t="e">
        <f t="shared" si="29"/>
        <v>#DIV/0!</v>
      </c>
      <c r="L188" s="133"/>
      <c r="M188" s="133"/>
      <c r="N188" s="133"/>
      <c r="O188" s="107"/>
      <c r="P188" s="134"/>
    </row>
    <row r="189" spans="1:16" x14ac:dyDescent="0.25">
      <c r="A189" s="154" t="s">
        <v>130</v>
      </c>
      <c r="B189" s="155"/>
      <c r="C189" s="155"/>
      <c r="D189" s="155"/>
      <c r="E189" s="155"/>
      <c r="F189" s="155"/>
      <c r="G189" s="155"/>
      <c r="H189" s="155"/>
      <c r="I189" s="155"/>
      <c r="J189" s="155"/>
      <c r="K189" s="155"/>
      <c r="L189" s="155"/>
      <c r="M189" s="155"/>
      <c r="N189" s="155"/>
      <c r="O189" s="155"/>
      <c r="P189" s="156"/>
    </row>
    <row r="190" spans="1:16" ht="63.75" x14ac:dyDescent="0.25">
      <c r="A190" s="157" t="s">
        <v>131</v>
      </c>
      <c r="B190" s="107"/>
      <c r="C190" s="107"/>
      <c r="D190" s="107"/>
      <c r="E190" s="107"/>
      <c r="F190" s="107"/>
      <c r="G190" s="53" t="s">
        <v>94</v>
      </c>
      <c r="H190" s="53" t="s">
        <v>95</v>
      </c>
      <c r="I190" s="53" t="s">
        <v>96</v>
      </c>
      <c r="J190" s="53" t="s">
        <v>97</v>
      </c>
      <c r="K190" s="53" t="s">
        <v>98</v>
      </c>
      <c r="L190" s="133" t="s">
        <v>99</v>
      </c>
      <c r="M190" s="133"/>
      <c r="N190" s="133"/>
      <c r="O190" s="133" t="s">
        <v>100</v>
      </c>
      <c r="P190" s="158"/>
    </row>
    <row r="191" spans="1:16" x14ac:dyDescent="0.25">
      <c r="A191" s="144" t="e">
        <f>IF(AND(I191&gt;$B$251,I191&lt;=$C$251),$D$251,IF(AND(I191&gt;$B$250,I191&lt;=$C$250),$D$250,IF(AND(I191&gt;$B$249,I191&lt;=$C$249),$D$249,IF(AND(I191&gt;$B$248,I191&lt;=$C$248),$D$248,IF(AND(I191&gt;$B$247,I191&lt;=$C$247),$D$247,"0")))))</f>
        <v>#DIV/0!</v>
      </c>
      <c r="B191" s="145"/>
      <c r="C191" s="145"/>
      <c r="D191" s="145"/>
      <c r="E191" s="145"/>
      <c r="F191" s="145"/>
      <c r="G191" s="63">
        <f>G199+G207+G215+G223</f>
        <v>0</v>
      </c>
      <c r="H191" s="63">
        <f>H199+H207+H215+H223</f>
        <v>0</v>
      </c>
      <c r="I191" s="64" t="e">
        <f>H191/G191</f>
        <v>#DIV/0!</v>
      </c>
      <c r="J191" s="65" t="e">
        <f>G256</f>
        <v>#DIV/0!</v>
      </c>
      <c r="K191" s="64" t="e">
        <f>J191*I191</f>
        <v>#DIV/0!</v>
      </c>
      <c r="L191" s="146"/>
      <c r="M191" s="146"/>
      <c r="N191" s="146"/>
      <c r="O191" s="146"/>
      <c r="P191" s="147"/>
    </row>
    <row r="192" spans="1:16" x14ac:dyDescent="0.25">
      <c r="A192" s="148" t="s">
        <v>132</v>
      </c>
      <c r="B192" s="101"/>
      <c r="C192" s="101"/>
      <c r="D192" s="101"/>
      <c r="E192" s="101"/>
      <c r="F192" s="101"/>
      <c r="G192" s="101"/>
      <c r="H192" s="101"/>
      <c r="I192" s="101"/>
      <c r="J192" s="101"/>
      <c r="K192" s="101"/>
      <c r="L192" s="101"/>
      <c r="M192" s="101"/>
      <c r="N192" s="101"/>
      <c r="O192" s="101"/>
      <c r="P192" s="149"/>
    </row>
    <row r="193" spans="1:16" ht="51" x14ac:dyDescent="0.25">
      <c r="A193" s="66" t="s">
        <v>102</v>
      </c>
      <c r="B193" s="133" t="s">
        <v>103</v>
      </c>
      <c r="C193" s="133"/>
      <c r="D193" s="55" t="s">
        <v>104</v>
      </c>
      <c r="E193" s="133" t="s">
        <v>105</v>
      </c>
      <c r="F193" s="133"/>
      <c r="G193" s="55" t="s">
        <v>106</v>
      </c>
      <c r="H193" s="55" t="s">
        <v>107</v>
      </c>
      <c r="I193" s="55" t="s">
        <v>96</v>
      </c>
      <c r="J193" s="55" t="s">
        <v>108</v>
      </c>
      <c r="K193" s="55" t="s">
        <v>109</v>
      </c>
      <c r="L193" s="107" t="s">
        <v>110</v>
      </c>
      <c r="M193" s="107"/>
      <c r="N193" s="107"/>
      <c r="O193" s="107" t="s">
        <v>100</v>
      </c>
      <c r="P193" s="134"/>
    </row>
    <row r="194" spans="1:16" x14ac:dyDescent="0.25">
      <c r="A194" s="66" t="s">
        <v>133</v>
      </c>
      <c r="B194" s="133" t="s">
        <v>134</v>
      </c>
      <c r="C194" s="133"/>
      <c r="D194" s="55"/>
      <c r="E194" s="133"/>
      <c r="F194" s="133"/>
      <c r="G194" s="55"/>
      <c r="H194" s="55"/>
      <c r="I194" s="67" t="e">
        <f t="shared" ref="I194:I199" si="31">H194/G194</f>
        <v>#DIV/0!</v>
      </c>
      <c r="J194" s="67" t="e">
        <f>G194/$G$191</f>
        <v>#DIV/0!</v>
      </c>
      <c r="K194" s="68" t="e">
        <f t="shared" ref="K194:K199" si="32">J194*I194</f>
        <v>#DIV/0!</v>
      </c>
      <c r="L194" s="133"/>
      <c r="M194" s="133"/>
      <c r="N194" s="133"/>
      <c r="O194" s="107"/>
      <c r="P194" s="134"/>
    </row>
    <row r="195" spans="1:16" x14ac:dyDescent="0.25">
      <c r="A195" s="66"/>
      <c r="B195" s="133"/>
      <c r="C195" s="133"/>
      <c r="D195" s="55"/>
      <c r="E195" s="133"/>
      <c r="F195" s="133"/>
      <c r="G195" s="55"/>
      <c r="H195" s="55"/>
      <c r="I195" s="67" t="e">
        <f t="shared" si="31"/>
        <v>#DIV/0!</v>
      </c>
      <c r="J195" s="67" t="e">
        <f t="shared" ref="J195:J198" si="33">G195/$G$191</f>
        <v>#DIV/0!</v>
      </c>
      <c r="K195" s="68" t="e">
        <f t="shared" si="32"/>
        <v>#DIV/0!</v>
      </c>
      <c r="L195" s="133"/>
      <c r="M195" s="133"/>
      <c r="N195" s="133"/>
      <c r="O195" s="107"/>
      <c r="P195" s="134"/>
    </row>
    <row r="196" spans="1:16" x14ac:dyDescent="0.25">
      <c r="A196" s="66"/>
      <c r="B196" s="133"/>
      <c r="C196" s="133"/>
      <c r="D196" s="55"/>
      <c r="E196" s="133"/>
      <c r="F196" s="133"/>
      <c r="G196" s="55"/>
      <c r="H196" s="55"/>
      <c r="I196" s="67" t="e">
        <f t="shared" si="31"/>
        <v>#DIV/0!</v>
      </c>
      <c r="J196" s="67" t="e">
        <f t="shared" si="33"/>
        <v>#DIV/0!</v>
      </c>
      <c r="K196" s="68" t="e">
        <f t="shared" si="32"/>
        <v>#DIV/0!</v>
      </c>
      <c r="L196" s="133"/>
      <c r="M196" s="133"/>
      <c r="N196" s="133"/>
      <c r="O196" s="107"/>
      <c r="P196" s="134"/>
    </row>
    <row r="197" spans="1:16" x14ac:dyDescent="0.25">
      <c r="A197" s="66"/>
      <c r="B197" s="133"/>
      <c r="C197" s="133"/>
      <c r="D197" s="55"/>
      <c r="E197" s="133"/>
      <c r="F197" s="133"/>
      <c r="G197" s="55"/>
      <c r="H197" s="55"/>
      <c r="I197" s="67" t="e">
        <f t="shared" si="31"/>
        <v>#DIV/0!</v>
      </c>
      <c r="J197" s="67" t="e">
        <f t="shared" si="33"/>
        <v>#DIV/0!</v>
      </c>
      <c r="K197" s="68" t="e">
        <f t="shared" si="32"/>
        <v>#DIV/0!</v>
      </c>
      <c r="L197" s="133"/>
      <c r="M197" s="133"/>
      <c r="N197" s="133"/>
      <c r="O197" s="107"/>
      <c r="P197" s="134"/>
    </row>
    <row r="198" spans="1:16" x14ac:dyDescent="0.25">
      <c r="A198" s="66"/>
      <c r="B198" s="133"/>
      <c r="C198" s="133"/>
      <c r="D198" s="55"/>
      <c r="E198" s="133"/>
      <c r="F198" s="133"/>
      <c r="G198" s="55"/>
      <c r="H198" s="55"/>
      <c r="I198" s="67" t="e">
        <f t="shared" si="31"/>
        <v>#DIV/0!</v>
      </c>
      <c r="J198" s="67" t="e">
        <f t="shared" si="33"/>
        <v>#DIV/0!</v>
      </c>
      <c r="K198" s="68" t="e">
        <f t="shared" si="32"/>
        <v>#DIV/0!</v>
      </c>
      <c r="L198" s="133"/>
      <c r="M198" s="133"/>
      <c r="N198" s="133"/>
      <c r="O198" s="107"/>
      <c r="P198" s="134"/>
    </row>
    <row r="199" spans="1:16" x14ac:dyDescent="0.25">
      <c r="A199" s="132" t="s">
        <v>111</v>
      </c>
      <c r="B199" s="133"/>
      <c r="C199" s="133"/>
      <c r="D199" s="133"/>
      <c r="E199" s="133"/>
      <c r="F199" s="133"/>
      <c r="G199" s="55">
        <f>SUM(G194:G198)</f>
        <v>0</v>
      </c>
      <c r="H199" s="55">
        <f>SUM(H194:H198)</f>
        <v>0</v>
      </c>
      <c r="I199" s="67" t="e">
        <f t="shared" si="31"/>
        <v>#DIV/0!</v>
      </c>
      <c r="J199" s="67" t="e">
        <f>SUM(J194:J198)</f>
        <v>#DIV/0!</v>
      </c>
      <c r="K199" s="68" t="e">
        <f t="shared" si="32"/>
        <v>#DIV/0!</v>
      </c>
      <c r="L199" s="133"/>
      <c r="M199" s="133"/>
      <c r="N199" s="133"/>
      <c r="O199" s="107"/>
      <c r="P199" s="134"/>
    </row>
    <row r="200" spans="1:16" x14ac:dyDescent="0.25">
      <c r="A200" s="141" t="s">
        <v>135</v>
      </c>
      <c r="B200" s="142"/>
      <c r="C200" s="142"/>
      <c r="D200" s="142"/>
      <c r="E200" s="142"/>
      <c r="F200" s="142"/>
      <c r="G200" s="142"/>
      <c r="H200" s="142"/>
      <c r="I200" s="142"/>
      <c r="J200" s="142"/>
      <c r="K200" s="142"/>
      <c r="L200" s="142"/>
      <c r="M200" s="142"/>
      <c r="N200" s="142"/>
      <c r="O200" s="142"/>
      <c r="P200" s="143"/>
    </row>
    <row r="201" spans="1:16" ht="51" x14ac:dyDescent="0.25">
      <c r="A201" s="66" t="s">
        <v>102</v>
      </c>
      <c r="B201" s="133" t="s">
        <v>103</v>
      </c>
      <c r="C201" s="133"/>
      <c r="D201" s="55" t="s">
        <v>104</v>
      </c>
      <c r="E201" s="133" t="s">
        <v>105</v>
      </c>
      <c r="F201" s="133"/>
      <c r="G201" s="55" t="s">
        <v>106</v>
      </c>
      <c r="H201" s="55" t="s">
        <v>107</v>
      </c>
      <c r="I201" s="55" t="s">
        <v>96</v>
      </c>
      <c r="J201" s="55" t="s">
        <v>108</v>
      </c>
      <c r="K201" s="55" t="s">
        <v>109</v>
      </c>
      <c r="L201" s="107" t="s">
        <v>110</v>
      </c>
      <c r="M201" s="107"/>
      <c r="N201" s="107"/>
      <c r="O201" s="107" t="s">
        <v>100</v>
      </c>
      <c r="P201" s="134"/>
    </row>
    <row r="202" spans="1:16" x14ac:dyDescent="0.25">
      <c r="A202" s="66"/>
      <c r="B202" s="133"/>
      <c r="C202" s="133"/>
      <c r="D202" s="55"/>
      <c r="E202" s="133"/>
      <c r="F202" s="133"/>
      <c r="G202" s="55"/>
      <c r="H202" s="55"/>
      <c r="I202" s="67" t="e">
        <f t="shared" ref="I202:I207" si="34">H202/G202</f>
        <v>#DIV/0!</v>
      </c>
      <c r="J202" s="67" t="e">
        <f>G202/$G$191</f>
        <v>#DIV/0!</v>
      </c>
      <c r="K202" s="68" t="e">
        <f t="shared" ref="K202:K207" si="35">J202*I202</f>
        <v>#DIV/0!</v>
      </c>
      <c r="L202" s="133"/>
      <c r="M202" s="133"/>
      <c r="N202" s="133"/>
      <c r="O202" s="107"/>
      <c r="P202" s="134"/>
    </row>
    <row r="203" spans="1:16" x14ac:dyDescent="0.25">
      <c r="A203" s="66"/>
      <c r="B203" s="133"/>
      <c r="C203" s="133"/>
      <c r="D203" s="55"/>
      <c r="E203" s="133"/>
      <c r="F203" s="133"/>
      <c r="G203" s="55"/>
      <c r="H203" s="55"/>
      <c r="I203" s="67" t="e">
        <f t="shared" si="34"/>
        <v>#DIV/0!</v>
      </c>
      <c r="J203" s="67" t="e">
        <f t="shared" ref="J203:J206" si="36">G203/$G$191</f>
        <v>#DIV/0!</v>
      </c>
      <c r="K203" s="68" t="e">
        <f t="shared" si="35"/>
        <v>#DIV/0!</v>
      </c>
      <c r="L203" s="133"/>
      <c r="M203" s="133"/>
      <c r="N203" s="133"/>
      <c r="O203" s="107"/>
      <c r="P203" s="134"/>
    </row>
    <row r="204" spans="1:16" x14ac:dyDescent="0.25">
      <c r="A204" s="66"/>
      <c r="B204" s="133"/>
      <c r="C204" s="133"/>
      <c r="D204" s="55"/>
      <c r="E204" s="133"/>
      <c r="F204" s="133"/>
      <c r="G204" s="55"/>
      <c r="H204" s="55"/>
      <c r="I204" s="67" t="e">
        <f t="shared" si="34"/>
        <v>#DIV/0!</v>
      </c>
      <c r="J204" s="67" t="e">
        <f t="shared" si="36"/>
        <v>#DIV/0!</v>
      </c>
      <c r="K204" s="68" t="e">
        <f t="shared" si="35"/>
        <v>#DIV/0!</v>
      </c>
      <c r="L204" s="133"/>
      <c r="M204" s="133"/>
      <c r="N204" s="133"/>
      <c r="O204" s="107"/>
      <c r="P204" s="134"/>
    </row>
    <row r="205" spans="1:16" x14ac:dyDescent="0.25">
      <c r="A205" s="66"/>
      <c r="B205" s="133"/>
      <c r="C205" s="133"/>
      <c r="D205" s="55"/>
      <c r="E205" s="133"/>
      <c r="F205" s="133"/>
      <c r="G205" s="55"/>
      <c r="H205" s="55"/>
      <c r="I205" s="67" t="e">
        <f t="shared" si="34"/>
        <v>#DIV/0!</v>
      </c>
      <c r="J205" s="67" t="e">
        <f t="shared" si="36"/>
        <v>#DIV/0!</v>
      </c>
      <c r="K205" s="68" t="e">
        <f t="shared" si="35"/>
        <v>#DIV/0!</v>
      </c>
      <c r="L205" s="133"/>
      <c r="M205" s="133"/>
      <c r="N205" s="133"/>
      <c r="O205" s="107"/>
      <c r="P205" s="134"/>
    </row>
    <row r="206" spans="1:16" x14ac:dyDescent="0.25">
      <c r="A206" s="66"/>
      <c r="B206" s="133"/>
      <c r="C206" s="133"/>
      <c r="D206" s="55"/>
      <c r="E206" s="133"/>
      <c r="F206" s="133"/>
      <c r="G206" s="55"/>
      <c r="H206" s="55"/>
      <c r="I206" s="67" t="e">
        <f t="shared" si="34"/>
        <v>#DIV/0!</v>
      </c>
      <c r="J206" s="67" t="e">
        <f t="shared" si="36"/>
        <v>#DIV/0!</v>
      </c>
      <c r="K206" s="68" t="e">
        <f t="shared" si="35"/>
        <v>#DIV/0!</v>
      </c>
      <c r="L206" s="133"/>
      <c r="M206" s="133"/>
      <c r="N206" s="133"/>
      <c r="O206" s="107"/>
      <c r="P206" s="134"/>
    </row>
    <row r="207" spans="1:16" x14ac:dyDescent="0.25">
      <c r="A207" s="132" t="s">
        <v>111</v>
      </c>
      <c r="B207" s="133"/>
      <c r="C207" s="133"/>
      <c r="D207" s="133"/>
      <c r="E207" s="133"/>
      <c r="F207" s="133"/>
      <c r="G207" s="55">
        <f>SUM(G202:G206)</f>
        <v>0</v>
      </c>
      <c r="H207" s="55">
        <f>SUM(H202:H206)</f>
        <v>0</v>
      </c>
      <c r="I207" s="67" t="e">
        <f t="shared" si="34"/>
        <v>#DIV/0!</v>
      </c>
      <c r="J207" s="67" t="e">
        <f>SUM(J202:J206)</f>
        <v>#DIV/0!</v>
      </c>
      <c r="K207" s="68" t="e">
        <f t="shared" si="35"/>
        <v>#DIV/0!</v>
      </c>
      <c r="L207" s="133"/>
      <c r="M207" s="133"/>
      <c r="N207" s="133"/>
      <c r="O207" s="107"/>
      <c r="P207" s="134"/>
    </row>
    <row r="208" spans="1:16" x14ac:dyDescent="0.25">
      <c r="A208" s="141" t="s">
        <v>136</v>
      </c>
      <c r="B208" s="142"/>
      <c r="C208" s="142"/>
      <c r="D208" s="142"/>
      <c r="E208" s="142"/>
      <c r="F208" s="142"/>
      <c r="G208" s="142"/>
      <c r="H208" s="142"/>
      <c r="I208" s="142"/>
      <c r="J208" s="142"/>
      <c r="K208" s="142"/>
      <c r="L208" s="142"/>
      <c r="M208" s="142"/>
      <c r="N208" s="142"/>
      <c r="O208" s="142"/>
      <c r="P208" s="143"/>
    </row>
    <row r="209" spans="1:16" ht="51" x14ac:dyDescent="0.25">
      <c r="A209" s="66" t="s">
        <v>102</v>
      </c>
      <c r="B209" s="133" t="s">
        <v>103</v>
      </c>
      <c r="C209" s="133"/>
      <c r="D209" s="55" t="s">
        <v>104</v>
      </c>
      <c r="E209" s="133" t="s">
        <v>105</v>
      </c>
      <c r="F209" s="133"/>
      <c r="G209" s="55" t="s">
        <v>106</v>
      </c>
      <c r="H209" s="55" t="s">
        <v>107</v>
      </c>
      <c r="I209" s="55" t="s">
        <v>96</v>
      </c>
      <c r="J209" s="55" t="s">
        <v>108</v>
      </c>
      <c r="K209" s="55" t="s">
        <v>109</v>
      </c>
      <c r="L209" s="107" t="s">
        <v>110</v>
      </c>
      <c r="M209" s="107"/>
      <c r="N209" s="107"/>
      <c r="O209" s="107" t="s">
        <v>100</v>
      </c>
      <c r="P209" s="134"/>
    </row>
    <row r="210" spans="1:16" x14ac:dyDescent="0.25">
      <c r="A210" s="66"/>
      <c r="B210" s="133"/>
      <c r="C210" s="133"/>
      <c r="D210" s="55"/>
      <c r="E210" s="133"/>
      <c r="F210" s="133"/>
      <c r="G210" s="55"/>
      <c r="H210" s="55"/>
      <c r="I210" s="67" t="e">
        <f t="shared" ref="I210:I215" si="37">H210/G210</f>
        <v>#DIV/0!</v>
      </c>
      <c r="J210" s="67" t="e">
        <f>G210/$G$191</f>
        <v>#DIV/0!</v>
      </c>
      <c r="K210" s="68" t="e">
        <f t="shared" ref="K210:K215" si="38">J210*I210</f>
        <v>#DIV/0!</v>
      </c>
      <c r="L210" s="133"/>
      <c r="M210" s="133"/>
      <c r="N210" s="133"/>
      <c r="O210" s="107"/>
      <c r="P210" s="134"/>
    </row>
    <row r="211" spans="1:16" x14ac:dyDescent="0.25">
      <c r="A211" s="66"/>
      <c r="B211" s="133"/>
      <c r="C211" s="133"/>
      <c r="D211" s="55"/>
      <c r="E211" s="133"/>
      <c r="F211" s="133"/>
      <c r="G211" s="55"/>
      <c r="H211" s="55"/>
      <c r="I211" s="67" t="e">
        <f t="shared" si="37"/>
        <v>#DIV/0!</v>
      </c>
      <c r="J211" s="67" t="e">
        <f t="shared" ref="J211:J214" si="39">G211/$G$191</f>
        <v>#DIV/0!</v>
      </c>
      <c r="K211" s="68" t="e">
        <f t="shared" si="38"/>
        <v>#DIV/0!</v>
      </c>
      <c r="L211" s="133"/>
      <c r="M211" s="133"/>
      <c r="N211" s="133"/>
      <c r="O211" s="107"/>
      <c r="P211" s="134"/>
    </row>
    <row r="212" spans="1:16" x14ac:dyDescent="0.25">
      <c r="A212" s="66"/>
      <c r="B212" s="133"/>
      <c r="C212" s="133"/>
      <c r="D212" s="55"/>
      <c r="E212" s="133"/>
      <c r="F212" s="133"/>
      <c r="G212" s="55"/>
      <c r="H212" s="55"/>
      <c r="I212" s="67" t="e">
        <f t="shared" si="37"/>
        <v>#DIV/0!</v>
      </c>
      <c r="J212" s="67" t="e">
        <f t="shared" si="39"/>
        <v>#DIV/0!</v>
      </c>
      <c r="K212" s="68" t="e">
        <f t="shared" si="38"/>
        <v>#DIV/0!</v>
      </c>
      <c r="L212" s="133"/>
      <c r="M212" s="133"/>
      <c r="N212" s="133"/>
      <c r="O212" s="107"/>
      <c r="P212" s="134"/>
    </row>
    <row r="213" spans="1:16" x14ac:dyDescent="0.25">
      <c r="A213" s="66"/>
      <c r="B213" s="133"/>
      <c r="C213" s="133"/>
      <c r="D213" s="55"/>
      <c r="E213" s="133"/>
      <c r="F213" s="133"/>
      <c r="G213" s="55"/>
      <c r="H213" s="55"/>
      <c r="I213" s="67" t="e">
        <f t="shared" si="37"/>
        <v>#DIV/0!</v>
      </c>
      <c r="J213" s="67" t="e">
        <f t="shared" si="39"/>
        <v>#DIV/0!</v>
      </c>
      <c r="K213" s="68" t="e">
        <f t="shared" si="38"/>
        <v>#DIV/0!</v>
      </c>
      <c r="L213" s="133"/>
      <c r="M213" s="133"/>
      <c r="N213" s="133"/>
      <c r="O213" s="107"/>
      <c r="P213" s="134"/>
    </row>
    <row r="214" spans="1:16" x14ac:dyDescent="0.25">
      <c r="A214" s="66"/>
      <c r="B214" s="133"/>
      <c r="C214" s="133"/>
      <c r="D214" s="55"/>
      <c r="E214" s="133"/>
      <c r="F214" s="133"/>
      <c r="G214" s="55"/>
      <c r="H214" s="55"/>
      <c r="I214" s="67" t="e">
        <f t="shared" si="37"/>
        <v>#DIV/0!</v>
      </c>
      <c r="J214" s="67" t="e">
        <f t="shared" si="39"/>
        <v>#DIV/0!</v>
      </c>
      <c r="K214" s="68" t="e">
        <f t="shared" si="38"/>
        <v>#DIV/0!</v>
      </c>
      <c r="L214" s="133"/>
      <c r="M214" s="133"/>
      <c r="N214" s="133"/>
      <c r="O214" s="107"/>
      <c r="P214" s="134"/>
    </row>
    <row r="215" spans="1:16" x14ac:dyDescent="0.25">
      <c r="A215" s="150" t="s">
        <v>111</v>
      </c>
      <c r="B215" s="151"/>
      <c r="C215" s="151"/>
      <c r="D215" s="151"/>
      <c r="E215" s="151"/>
      <c r="F215" s="151"/>
      <c r="G215" s="69">
        <f>SUM(G210:G214)</f>
        <v>0</v>
      </c>
      <c r="H215" s="69">
        <f>SUM(H210:H214)</f>
        <v>0</v>
      </c>
      <c r="I215" s="70" t="e">
        <f t="shared" si="37"/>
        <v>#DIV/0!</v>
      </c>
      <c r="J215" s="70" t="e">
        <f>SUM(J210:J214)</f>
        <v>#DIV/0!</v>
      </c>
      <c r="K215" s="71" t="e">
        <f t="shared" si="38"/>
        <v>#DIV/0!</v>
      </c>
      <c r="L215" s="151"/>
      <c r="M215" s="151"/>
      <c r="N215" s="151"/>
      <c r="O215" s="152"/>
      <c r="P215" s="153"/>
    </row>
    <row r="216" spans="1:16" x14ac:dyDescent="0.25">
      <c r="A216" s="141" t="s">
        <v>137</v>
      </c>
      <c r="B216" s="142"/>
      <c r="C216" s="142"/>
      <c r="D216" s="142"/>
      <c r="E216" s="142"/>
      <c r="F216" s="142"/>
      <c r="G216" s="142"/>
      <c r="H216" s="142"/>
      <c r="I216" s="142"/>
      <c r="J216" s="142"/>
      <c r="K216" s="142"/>
      <c r="L216" s="142"/>
      <c r="M216" s="142"/>
      <c r="N216" s="142"/>
      <c r="O216" s="142"/>
      <c r="P216" s="143"/>
    </row>
    <row r="217" spans="1:16" ht="51" x14ac:dyDescent="0.25">
      <c r="A217" s="66" t="s">
        <v>102</v>
      </c>
      <c r="B217" s="133" t="s">
        <v>103</v>
      </c>
      <c r="C217" s="133"/>
      <c r="D217" s="55" t="s">
        <v>104</v>
      </c>
      <c r="E217" s="133" t="s">
        <v>105</v>
      </c>
      <c r="F217" s="133"/>
      <c r="G217" s="55" t="s">
        <v>106</v>
      </c>
      <c r="H217" s="55" t="s">
        <v>107</v>
      </c>
      <c r="I217" s="55" t="s">
        <v>96</v>
      </c>
      <c r="J217" s="55" t="s">
        <v>108</v>
      </c>
      <c r="K217" s="55" t="s">
        <v>109</v>
      </c>
      <c r="L217" s="107" t="s">
        <v>110</v>
      </c>
      <c r="M217" s="107"/>
      <c r="N217" s="107"/>
      <c r="O217" s="107" t="s">
        <v>100</v>
      </c>
      <c r="P217" s="134"/>
    </row>
    <row r="218" spans="1:16" x14ac:dyDescent="0.25">
      <c r="A218" s="66"/>
      <c r="B218" s="133"/>
      <c r="C218" s="133"/>
      <c r="D218" s="55"/>
      <c r="E218" s="133"/>
      <c r="F218" s="133"/>
      <c r="G218" s="55"/>
      <c r="H218" s="55"/>
      <c r="I218" s="67" t="e">
        <f>H218/G218</f>
        <v>#DIV/0!</v>
      </c>
      <c r="J218" s="67" t="e">
        <f>G218/$G$191</f>
        <v>#DIV/0!</v>
      </c>
      <c r="K218" s="68" t="e">
        <f t="shared" ref="K218:K223" si="40">J218*I218</f>
        <v>#DIV/0!</v>
      </c>
      <c r="L218" s="133"/>
      <c r="M218" s="133"/>
      <c r="N218" s="133"/>
      <c r="O218" s="107"/>
      <c r="P218" s="134"/>
    </row>
    <row r="219" spans="1:16" x14ac:dyDescent="0.25">
      <c r="A219" s="66"/>
      <c r="B219" s="133"/>
      <c r="C219" s="133"/>
      <c r="D219" s="55"/>
      <c r="E219" s="133"/>
      <c r="F219" s="133"/>
      <c r="G219" s="55"/>
      <c r="H219" s="55"/>
      <c r="I219" s="67" t="e">
        <f t="shared" ref="I219:I223" si="41">H219/G219</f>
        <v>#DIV/0!</v>
      </c>
      <c r="J219" s="67" t="e">
        <f t="shared" ref="J219:J222" si="42">G219/$G$191</f>
        <v>#DIV/0!</v>
      </c>
      <c r="K219" s="68" t="e">
        <f t="shared" si="40"/>
        <v>#DIV/0!</v>
      </c>
      <c r="L219" s="133"/>
      <c r="M219" s="133"/>
      <c r="N219" s="133"/>
      <c r="O219" s="107"/>
      <c r="P219" s="134"/>
    </row>
    <row r="220" spans="1:16" x14ac:dyDescent="0.25">
      <c r="A220" s="66"/>
      <c r="B220" s="133"/>
      <c r="C220" s="133"/>
      <c r="D220" s="55"/>
      <c r="E220" s="133"/>
      <c r="F220" s="133"/>
      <c r="G220" s="55"/>
      <c r="H220" s="55"/>
      <c r="I220" s="67" t="e">
        <f t="shared" si="41"/>
        <v>#DIV/0!</v>
      </c>
      <c r="J220" s="67" t="e">
        <f t="shared" si="42"/>
        <v>#DIV/0!</v>
      </c>
      <c r="K220" s="68" t="e">
        <f t="shared" si="40"/>
        <v>#DIV/0!</v>
      </c>
      <c r="L220" s="133"/>
      <c r="M220" s="133"/>
      <c r="N220" s="133"/>
      <c r="O220" s="107"/>
      <c r="P220" s="134"/>
    </row>
    <row r="221" spans="1:16" x14ac:dyDescent="0.25">
      <c r="A221" s="66"/>
      <c r="B221" s="133"/>
      <c r="C221" s="133"/>
      <c r="D221" s="55"/>
      <c r="E221" s="133"/>
      <c r="F221" s="133"/>
      <c r="G221" s="55"/>
      <c r="H221" s="55"/>
      <c r="I221" s="67" t="e">
        <f t="shared" si="41"/>
        <v>#DIV/0!</v>
      </c>
      <c r="J221" s="67" t="e">
        <f t="shared" si="42"/>
        <v>#DIV/0!</v>
      </c>
      <c r="K221" s="68" t="e">
        <f t="shared" si="40"/>
        <v>#DIV/0!</v>
      </c>
      <c r="L221" s="133"/>
      <c r="M221" s="133"/>
      <c r="N221" s="133"/>
      <c r="O221" s="107"/>
      <c r="P221" s="134"/>
    </row>
    <row r="222" spans="1:16" x14ac:dyDescent="0.25">
      <c r="A222" s="66"/>
      <c r="B222" s="133"/>
      <c r="C222" s="133"/>
      <c r="D222" s="55"/>
      <c r="E222" s="133"/>
      <c r="F222" s="133"/>
      <c r="G222" s="55"/>
      <c r="H222" s="55"/>
      <c r="I222" s="67" t="e">
        <f t="shared" si="41"/>
        <v>#DIV/0!</v>
      </c>
      <c r="J222" s="67" t="e">
        <f t="shared" si="42"/>
        <v>#DIV/0!</v>
      </c>
      <c r="K222" s="68" t="e">
        <f t="shared" si="40"/>
        <v>#DIV/0!</v>
      </c>
      <c r="L222" s="133"/>
      <c r="M222" s="133"/>
      <c r="N222" s="133"/>
      <c r="O222" s="107"/>
      <c r="P222" s="134"/>
    </row>
    <row r="223" spans="1:16" x14ac:dyDescent="0.25">
      <c r="A223" s="150" t="s">
        <v>111</v>
      </c>
      <c r="B223" s="151"/>
      <c r="C223" s="151"/>
      <c r="D223" s="151"/>
      <c r="E223" s="151"/>
      <c r="F223" s="151"/>
      <c r="G223" s="69">
        <f>SUM(G218:G222)</f>
        <v>0</v>
      </c>
      <c r="H223" s="69">
        <f>SUM(H218:H222)</f>
        <v>0</v>
      </c>
      <c r="I223" s="70" t="e">
        <f t="shared" si="41"/>
        <v>#DIV/0!</v>
      </c>
      <c r="J223" s="70" t="e">
        <f>SUM(J218:J222)</f>
        <v>#DIV/0!</v>
      </c>
      <c r="K223" s="71" t="e">
        <f t="shared" si="40"/>
        <v>#DIV/0!</v>
      </c>
      <c r="L223" s="151"/>
      <c r="M223" s="151"/>
      <c r="N223" s="151"/>
      <c r="O223" s="152"/>
      <c r="P223" s="153"/>
    </row>
    <row r="224" spans="1:16" x14ac:dyDescent="0.25">
      <c r="A224" s="154" t="s">
        <v>138</v>
      </c>
      <c r="B224" s="155"/>
      <c r="C224" s="155"/>
      <c r="D224" s="155"/>
      <c r="E224" s="155"/>
      <c r="F224" s="155"/>
      <c r="G224" s="155"/>
      <c r="H224" s="155"/>
      <c r="I224" s="155"/>
      <c r="J224" s="155"/>
      <c r="K224" s="155"/>
      <c r="L224" s="155"/>
      <c r="M224" s="155"/>
      <c r="N224" s="155"/>
      <c r="O224" s="155"/>
      <c r="P224" s="156"/>
    </row>
    <row r="225" spans="1:16" ht="63.75" x14ac:dyDescent="0.25">
      <c r="A225" s="157" t="s">
        <v>139</v>
      </c>
      <c r="B225" s="107"/>
      <c r="C225" s="107"/>
      <c r="D225" s="107"/>
      <c r="E225" s="107"/>
      <c r="F225" s="107"/>
      <c r="G225" s="53" t="s">
        <v>94</v>
      </c>
      <c r="H225" s="53" t="s">
        <v>95</v>
      </c>
      <c r="I225" s="53" t="s">
        <v>96</v>
      </c>
      <c r="J225" s="53" t="s">
        <v>97</v>
      </c>
      <c r="K225" s="53" t="s">
        <v>98</v>
      </c>
      <c r="L225" s="133" t="s">
        <v>99</v>
      </c>
      <c r="M225" s="133"/>
      <c r="N225" s="133"/>
      <c r="O225" s="133" t="s">
        <v>100</v>
      </c>
      <c r="P225" s="158"/>
    </row>
    <row r="226" spans="1:16" x14ac:dyDescent="0.25">
      <c r="A226" s="144" t="e">
        <f>IF(AND(I226&gt;$B$251,I226&lt;=$C$251),$D$251,IF(AND(I226&gt;$B$250,I226&lt;=$C$250),$D$250,IF(AND(I226&gt;$B$249,I226&lt;=$C$249),$D$249,IF(AND(I226&gt;$B$248,I226&lt;=$C$248),$D$248,IF(AND(I226&gt;$B$247,I226&lt;=$C$247),$D$247,"0")))))</f>
        <v>#DIV/0!</v>
      </c>
      <c r="B226" s="145"/>
      <c r="C226" s="145"/>
      <c r="D226" s="145"/>
      <c r="E226" s="145"/>
      <c r="F226" s="145"/>
      <c r="G226" s="63">
        <f>G234+G242</f>
        <v>0</v>
      </c>
      <c r="H226" s="63">
        <f>H234+H242</f>
        <v>0</v>
      </c>
      <c r="I226" s="64" t="e">
        <f>H226/G226</f>
        <v>#DIV/0!</v>
      </c>
      <c r="J226" s="65" t="e">
        <f>G257</f>
        <v>#DIV/0!</v>
      </c>
      <c r="K226" s="64" t="e">
        <f>J226*I226</f>
        <v>#DIV/0!</v>
      </c>
      <c r="L226" s="146"/>
      <c r="M226" s="146"/>
      <c r="N226" s="146"/>
      <c r="O226" s="146"/>
      <c r="P226" s="147"/>
    </row>
    <row r="227" spans="1:16" x14ac:dyDescent="0.25">
      <c r="A227" s="148" t="s">
        <v>140</v>
      </c>
      <c r="B227" s="101"/>
      <c r="C227" s="101"/>
      <c r="D227" s="101"/>
      <c r="E227" s="101"/>
      <c r="F227" s="101"/>
      <c r="G227" s="101"/>
      <c r="H227" s="101"/>
      <c r="I227" s="101"/>
      <c r="J227" s="101"/>
      <c r="K227" s="101"/>
      <c r="L227" s="101"/>
      <c r="M227" s="101"/>
      <c r="N227" s="101"/>
      <c r="O227" s="101"/>
      <c r="P227" s="149"/>
    </row>
    <row r="228" spans="1:16" ht="51" x14ac:dyDescent="0.25">
      <c r="A228" s="66" t="s">
        <v>102</v>
      </c>
      <c r="B228" s="133" t="s">
        <v>103</v>
      </c>
      <c r="C228" s="133"/>
      <c r="D228" s="55" t="s">
        <v>104</v>
      </c>
      <c r="E228" s="133" t="s">
        <v>105</v>
      </c>
      <c r="F228" s="133"/>
      <c r="G228" s="55" t="s">
        <v>106</v>
      </c>
      <c r="H228" s="55" t="s">
        <v>107</v>
      </c>
      <c r="I228" s="55" t="s">
        <v>96</v>
      </c>
      <c r="J228" s="55" t="s">
        <v>108</v>
      </c>
      <c r="K228" s="55" t="s">
        <v>109</v>
      </c>
      <c r="L228" s="107" t="s">
        <v>110</v>
      </c>
      <c r="M228" s="107"/>
      <c r="N228" s="107"/>
      <c r="O228" s="107" t="s">
        <v>100</v>
      </c>
      <c r="P228" s="134"/>
    </row>
    <row r="229" spans="1:16" x14ac:dyDescent="0.25">
      <c r="A229" s="66"/>
      <c r="B229" s="133"/>
      <c r="C229" s="133"/>
      <c r="D229" s="55"/>
      <c r="E229" s="133"/>
      <c r="F229" s="133"/>
      <c r="G229" s="55"/>
      <c r="H229" s="55"/>
      <c r="I229" s="67" t="e">
        <f>H229/G229</f>
        <v>#DIV/0!</v>
      </c>
      <c r="J229" s="67" t="e">
        <f>G229/$G$81</f>
        <v>#DIV/0!</v>
      </c>
      <c r="K229" s="68" t="e">
        <f t="shared" ref="K229:K234" si="43">J229*I229</f>
        <v>#DIV/0!</v>
      </c>
      <c r="L229" s="133"/>
      <c r="M229" s="133"/>
      <c r="N229" s="133"/>
      <c r="O229" s="107"/>
      <c r="P229" s="134"/>
    </row>
    <row r="230" spans="1:16" x14ac:dyDescent="0.25">
      <c r="A230" s="66"/>
      <c r="B230" s="133"/>
      <c r="C230" s="133"/>
      <c r="D230" s="55"/>
      <c r="E230" s="133"/>
      <c r="F230" s="133"/>
      <c r="G230" s="55"/>
      <c r="H230" s="55"/>
      <c r="I230" s="67" t="e">
        <f t="shared" ref="I230:I233" si="44">H230/G230</f>
        <v>#DIV/0!</v>
      </c>
      <c r="J230" s="67" t="e">
        <f>G230/$G$81</f>
        <v>#DIV/0!</v>
      </c>
      <c r="K230" s="68" t="e">
        <f t="shared" si="43"/>
        <v>#DIV/0!</v>
      </c>
      <c r="L230" s="133"/>
      <c r="M230" s="133"/>
      <c r="N230" s="133"/>
      <c r="O230" s="107"/>
      <c r="P230" s="134"/>
    </row>
    <row r="231" spans="1:16" x14ac:dyDescent="0.25">
      <c r="A231" s="66"/>
      <c r="B231" s="133"/>
      <c r="C231" s="133"/>
      <c r="D231" s="55"/>
      <c r="E231" s="133"/>
      <c r="F231" s="133"/>
      <c r="G231" s="55"/>
      <c r="H231" s="55"/>
      <c r="I231" s="67" t="e">
        <f t="shared" si="44"/>
        <v>#DIV/0!</v>
      </c>
      <c r="J231" s="67" t="e">
        <f>G231/$G$81</f>
        <v>#DIV/0!</v>
      </c>
      <c r="K231" s="68" t="e">
        <f t="shared" si="43"/>
        <v>#DIV/0!</v>
      </c>
      <c r="L231" s="133"/>
      <c r="M231" s="133"/>
      <c r="N231" s="133"/>
      <c r="O231" s="107"/>
      <c r="P231" s="134"/>
    </row>
    <row r="232" spans="1:16" x14ac:dyDescent="0.25">
      <c r="A232" s="66"/>
      <c r="B232" s="133"/>
      <c r="C232" s="133"/>
      <c r="D232" s="55"/>
      <c r="E232" s="133"/>
      <c r="F232" s="133"/>
      <c r="G232" s="55"/>
      <c r="H232" s="55"/>
      <c r="I232" s="67" t="e">
        <f t="shared" si="44"/>
        <v>#DIV/0!</v>
      </c>
      <c r="J232" s="67" t="e">
        <f>G232/$G$81</f>
        <v>#DIV/0!</v>
      </c>
      <c r="K232" s="68" t="e">
        <f t="shared" si="43"/>
        <v>#DIV/0!</v>
      </c>
      <c r="L232" s="133"/>
      <c r="M232" s="133"/>
      <c r="N232" s="133"/>
      <c r="O232" s="107"/>
      <c r="P232" s="134"/>
    </row>
    <row r="233" spans="1:16" x14ac:dyDescent="0.25">
      <c r="A233" s="66"/>
      <c r="B233" s="133"/>
      <c r="C233" s="133"/>
      <c r="D233" s="55"/>
      <c r="E233" s="133"/>
      <c r="F233" s="133"/>
      <c r="G233" s="55"/>
      <c r="H233" s="55"/>
      <c r="I233" s="67" t="e">
        <f t="shared" si="44"/>
        <v>#DIV/0!</v>
      </c>
      <c r="J233" s="67" t="e">
        <f>G233/$G$81</f>
        <v>#DIV/0!</v>
      </c>
      <c r="K233" s="68" t="e">
        <f t="shared" si="43"/>
        <v>#DIV/0!</v>
      </c>
      <c r="L233" s="133"/>
      <c r="M233" s="133"/>
      <c r="N233" s="133"/>
      <c r="O233" s="107"/>
      <c r="P233" s="134"/>
    </row>
    <row r="234" spans="1:16" x14ac:dyDescent="0.25">
      <c r="A234" s="132" t="s">
        <v>111</v>
      </c>
      <c r="B234" s="133"/>
      <c r="C234" s="133"/>
      <c r="D234" s="133"/>
      <c r="E234" s="133"/>
      <c r="F234" s="133"/>
      <c r="G234" s="55">
        <f>SUM(G229:G233)</f>
        <v>0</v>
      </c>
      <c r="H234" s="55">
        <f>SUM(H229:H233)</f>
        <v>0</v>
      </c>
      <c r="I234" s="67" t="e">
        <f>H234/G234</f>
        <v>#DIV/0!</v>
      </c>
      <c r="J234" s="67" t="e">
        <f>SUM(J229:J233)</f>
        <v>#DIV/0!</v>
      </c>
      <c r="K234" s="68" t="e">
        <f t="shared" si="43"/>
        <v>#DIV/0!</v>
      </c>
      <c r="L234" s="133"/>
      <c r="M234" s="133"/>
      <c r="N234" s="133"/>
      <c r="O234" s="107"/>
      <c r="P234" s="134"/>
    </row>
    <row r="235" spans="1:16" x14ac:dyDescent="0.25">
      <c r="A235" s="141" t="s">
        <v>141</v>
      </c>
      <c r="B235" s="142"/>
      <c r="C235" s="142"/>
      <c r="D235" s="142"/>
      <c r="E235" s="142"/>
      <c r="F235" s="142"/>
      <c r="G235" s="142"/>
      <c r="H235" s="142"/>
      <c r="I235" s="142"/>
      <c r="J235" s="142"/>
      <c r="K235" s="142"/>
      <c r="L235" s="142"/>
      <c r="M235" s="142"/>
      <c r="N235" s="142"/>
      <c r="O235" s="142"/>
      <c r="P235" s="143"/>
    </row>
    <row r="236" spans="1:16" ht="51" x14ac:dyDescent="0.25">
      <c r="A236" s="66" t="s">
        <v>102</v>
      </c>
      <c r="B236" s="133" t="s">
        <v>103</v>
      </c>
      <c r="C236" s="133"/>
      <c r="D236" s="55" t="s">
        <v>104</v>
      </c>
      <c r="E236" s="133" t="s">
        <v>105</v>
      </c>
      <c r="F236" s="133"/>
      <c r="G236" s="55" t="s">
        <v>106</v>
      </c>
      <c r="H236" s="55" t="s">
        <v>107</v>
      </c>
      <c r="I236" s="55" t="s">
        <v>96</v>
      </c>
      <c r="J236" s="55" t="s">
        <v>108</v>
      </c>
      <c r="K236" s="55" t="s">
        <v>109</v>
      </c>
      <c r="L236" s="107" t="s">
        <v>110</v>
      </c>
      <c r="M236" s="107"/>
      <c r="N236" s="107"/>
      <c r="O236" s="107" t="s">
        <v>100</v>
      </c>
      <c r="P236" s="134"/>
    </row>
    <row r="237" spans="1:16" x14ac:dyDescent="0.25">
      <c r="A237" s="66" t="s">
        <v>142</v>
      </c>
      <c r="B237" s="133" t="s">
        <v>143</v>
      </c>
      <c r="C237" s="133"/>
      <c r="D237" s="55"/>
      <c r="E237" s="133"/>
      <c r="F237" s="133"/>
      <c r="G237" s="55"/>
      <c r="H237" s="55"/>
      <c r="I237" s="67" t="e">
        <f t="shared" ref="I237:I242" si="45">H237/G237</f>
        <v>#DIV/0!</v>
      </c>
      <c r="J237" s="67" t="e">
        <f>G237/$G$81</f>
        <v>#DIV/0!</v>
      </c>
      <c r="K237" s="68" t="e">
        <f t="shared" ref="K237:K242" si="46">J237*I237</f>
        <v>#DIV/0!</v>
      </c>
      <c r="L237" s="133"/>
      <c r="M237" s="133"/>
      <c r="N237" s="133"/>
      <c r="O237" s="107"/>
      <c r="P237" s="134"/>
    </row>
    <row r="238" spans="1:16" x14ac:dyDescent="0.25">
      <c r="A238" s="66"/>
      <c r="B238" s="133"/>
      <c r="C238" s="133"/>
      <c r="D238" s="55"/>
      <c r="E238" s="133"/>
      <c r="F238" s="133"/>
      <c r="G238" s="55"/>
      <c r="H238" s="55"/>
      <c r="I238" s="67" t="e">
        <f t="shared" si="45"/>
        <v>#DIV/0!</v>
      </c>
      <c r="J238" s="67" t="e">
        <f>G238/$G$81</f>
        <v>#DIV/0!</v>
      </c>
      <c r="K238" s="68" t="e">
        <f t="shared" si="46"/>
        <v>#DIV/0!</v>
      </c>
      <c r="L238" s="133"/>
      <c r="M238" s="133"/>
      <c r="N238" s="133"/>
      <c r="O238" s="107"/>
      <c r="P238" s="134"/>
    </row>
    <row r="239" spans="1:16" x14ac:dyDescent="0.25">
      <c r="A239" s="66"/>
      <c r="B239" s="133"/>
      <c r="C239" s="133"/>
      <c r="D239" s="55"/>
      <c r="E239" s="133"/>
      <c r="F239" s="133"/>
      <c r="G239" s="55"/>
      <c r="H239" s="55"/>
      <c r="I239" s="67" t="e">
        <f t="shared" si="45"/>
        <v>#DIV/0!</v>
      </c>
      <c r="J239" s="67" t="e">
        <f>G239/$G$81</f>
        <v>#DIV/0!</v>
      </c>
      <c r="K239" s="68" t="e">
        <f t="shared" si="46"/>
        <v>#DIV/0!</v>
      </c>
      <c r="L239" s="133"/>
      <c r="M239" s="133"/>
      <c r="N239" s="133"/>
      <c r="O239" s="107"/>
      <c r="P239" s="134"/>
    </row>
    <row r="240" spans="1:16" x14ac:dyDescent="0.25">
      <c r="A240" s="66"/>
      <c r="B240" s="133"/>
      <c r="C240" s="133"/>
      <c r="D240" s="55"/>
      <c r="E240" s="133"/>
      <c r="F240" s="133"/>
      <c r="G240" s="55"/>
      <c r="H240" s="55"/>
      <c r="I240" s="67" t="e">
        <f t="shared" si="45"/>
        <v>#DIV/0!</v>
      </c>
      <c r="J240" s="67" t="e">
        <f>G240/$G$81</f>
        <v>#DIV/0!</v>
      </c>
      <c r="K240" s="68" t="e">
        <f t="shared" si="46"/>
        <v>#DIV/0!</v>
      </c>
      <c r="L240" s="133"/>
      <c r="M240" s="133"/>
      <c r="N240" s="133"/>
      <c r="O240" s="107"/>
      <c r="P240" s="134"/>
    </row>
    <row r="241" spans="1:16" x14ac:dyDescent="0.25">
      <c r="A241" s="66"/>
      <c r="B241" s="133"/>
      <c r="C241" s="133"/>
      <c r="D241" s="55"/>
      <c r="E241" s="133"/>
      <c r="F241" s="133"/>
      <c r="G241" s="55"/>
      <c r="H241" s="55"/>
      <c r="I241" s="67" t="e">
        <f t="shared" si="45"/>
        <v>#DIV/0!</v>
      </c>
      <c r="J241" s="67" t="e">
        <f>G241/$G$81</f>
        <v>#DIV/0!</v>
      </c>
      <c r="K241" s="68" t="e">
        <f t="shared" si="46"/>
        <v>#DIV/0!</v>
      </c>
      <c r="L241" s="133"/>
      <c r="M241" s="133"/>
      <c r="N241" s="133"/>
      <c r="O241" s="107"/>
      <c r="P241" s="134"/>
    </row>
    <row r="242" spans="1:16" x14ac:dyDescent="0.25">
      <c r="A242" s="132" t="s">
        <v>111</v>
      </c>
      <c r="B242" s="133"/>
      <c r="C242" s="133"/>
      <c r="D242" s="133"/>
      <c r="E242" s="133"/>
      <c r="F242" s="133"/>
      <c r="G242" s="55">
        <f>SUM(G237:G241)</f>
        <v>0</v>
      </c>
      <c r="H242" s="55">
        <f>SUM(H237:H241)</f>
        <v>0</v>
      </c>
      <c r="I242" s="67" t="e">
        <f t="shared" si="45"/>
        <v>#DIV/0!</v>
      </c>
      <c r="J242" s="67" t="e">
        <f>SUM(J237:J241)</f>
        <v>#DIV/0!</v>
      </c>
      <c r="K242" s="68" t="e">
        <f t="shared" si="46"/>
        <v>#DIV/0!</v>
      </c>
      <c r="L242" s="133"/>
      <c r="M242" s="133"/>
      <c r="N242" s="133"/>
      <c r="O242" s="107"/>
      <c r="P242" s="134"/>
    </row>
    <row r="243" spans="1:16" x14ac:dyDescent="0.25">
      <c r="A243" s="135"/>
      <c r="B243" s="136"/>
      <c r="C243" s="136"/>
      <c r="D243" s="136"/>
      <c r="E243" s="136"/>
      <c r="F243" s="136"/>
      <c r="G243" s="136"/>
      <c r="H243" s="136"/>
      <c r="I243" s="136"/>
      <c r="J243" s="136"/>
      <c r="K243" s="136"/>
      <c r="L243" s="136"/>
      <c r="M243" s="136"/>
      <c r="N243" s="136"/>
      <c r="O243" s="136"/>
      <c r="P243" s="137"/>
    </row>
    <row r="244" spans="1:16" x14ac:dyDescent="0.25">
      <c r="A244" s="138" t="s">
        <v>144</v>
      </c>
      <c r="B244" s="139"/>
      <c r="C244" s="139"/>
      <c r="D244" s="139"/>
      <c r="E244" s="139"/>
      <c r="F244" s="139"/>
      <c r="G244" s="139"/>
      <c r="H244" s="139"/>
      <c r="I244" s="139"/>
      <c r="J244" s="139"/>
      <c r="K244" s="139"/>
      <c r="L244" s="139"/>
      <c r="M244" s="139"/>
      <c r="N244" s="139"/>
      <c r="O244" s="139"/>
      <c r="P244" s="140"/>
    </row>
    <row r="245" spans="1:16" x14ac:dyDescent="0.25">
      <c r="A245" s="72"/>
      <c r="B245" s="72"/>
      <c r="C245" s="72"/>
      <c r="D245" s="72"/>
      <c r="E245" s="72"/>
      <c r="F245" s="101"/>
      <c r="G245" s="101"/>
      <c r="H245" s="101"/>
      <c r="I245" s="101"/>
      <c r="J245" s="101"/>
      <c r="K245" s="101"/>
      <c r="L245" s="101"/>
      <c r="M245" s="101"/>
      <c r="N245" s="101"/>
      <c r="O245" s="101"/>
      <c r="P245" s="72"/>
    </row>
    <row r="246" spans="1:16" x14ac:dyDescent="0.25">
      <c r="A246" s="72"/>
      <c r="B246" s="131" t="s">
        <v>145</v>
      </c>
      <c r="C246" s="131"/>
      <c r="D246" s="127" t="s">
        <v>146</v>
      </c>
      <c r="E246" s="127"/>
      <c r="F246" s="127" t="s">
        <v>147</v>
      </c>
      <c r="G246" s="127"/>
      <c r="H246" s="127"/>
      <c r="I246" s="127"/>
      <c r="J246" s="127"/>
      <c r="K246" s="127"/>
      <c r="L246" s="127"/>
      <c r="M246" s="127"/>
      <c r="N246" s="127"/>
      <c r="O246" s="127"/>
      <c r="P246" s="73"/>
    </row>
    <row r="247" spans="1:16" x14ac:dyDescent="0.25">
      <c r="A247" s="74"/>
      <c r="B247" s="23"/>
      <c r="C247" s="23"/>
      <c r="D247" s="126"/>
      <c r="E247" s="127"/>
      <c r="F247" s="127"/>
      <c r="G247" s="127"/>
      <c r="H247" s="127"/>
      <c r="I247" s="127"/>
      <c r="J247" s="127"/>
      <c r="K247" s="127"/>
      <c r="L247" s="127"/>
      <c r="M247" s="127"/>
      <c r="N247" s="127"/>
      <c r="O247" s="127"/>
      <c r="P247" s="73"/>
    </row>
    <row r="248" spans="1:16" x14ac:dyDescent="0.25">
      <c r="A248" s="74"/>
      <c r="B248" s="23"/>
      <c r="C248" s="23"/>
      <c r="D248" s="126"/>
      <c r="E248" s="127"/>
      <c r="F248" s="128"/>
      <c r="G248" s="128"/>
      <c r="H248" s="128"/>
      <c r="I248" s="128"/>
      <c r="J248" s="128"/>
      <c r="K248" s="128"/>
      <c r="L248" s="128"/>
      <c r="M248" s="128"/>
      <c r="N248" s="128"/>
      <c r="O248" s="128"/>
      <c r="P248" s="73"/>
    </row>
    <row r="249" spans="1:16" x14ac:dyDescent="0.25">
      <c r="A249" s="74"/>
      <c r="B249" s="23"/>
      <c r="C249" s="23"/>
      <c r="D249" s="126"/>
      <c r="E249" s="127"/>
      <c r="F249" s="128"/>
      <c r="G249" s="128"/>
      <c r="H249" s="128"/>
      <c r="I249" s="128"/>
      <c r="J249" s="128"/>
      <c r="K249" s="128"/>
      <c r="L249" s="128"/>
      <c r="M249" s="128"/>
      <c r="N249" s="128"/>
      <c r="O249" s="128"/>
      <c r="P249" s="73"/>
    </row>
    <row r="250" spans="1:16" x14ac:dyDescent="0.25">
      <c r="A250" s="74"/>
      <c r="B250" s="23"/>
      <c r="C250" s="23"/>
      <c r="D250" s="126"/>
      <c r="E250" s="127"/>
      <c r="F250" s="128"/>
      <c r="G250" s="128"/>
      <c r="H250" s="128"/>
      <c r="I250" s="128"/>
      <c r="J250" s="128"/>
      <c r="K250" s="128"/>
      <c r="L250" s="128"/>
      <c r="M250" s="128"/>
      <c r="N250" s="128"/>
      <c r="O250" s="128"/>
      <c r="P250" s="73"/>
    </row>
    <row r="251" spans="1:16" x14ac:dyDescent="0.25">
      <c r="A251" s="75"/>
      <c r="B251" s="23"/>
      <c r="C251" s="23"/>
      <c r="D251" s="126"/>
      <c r="E251" s="127"/>
      <c r="F251" s="128"/>
      <c r="G251" s="128"/>
      <c r="H251" s="128"/>
      <c r="I251" s="128"/>
      <c r="J251" s="128"/>
      <c r="K251" s="128"/>
      <c r="L251" s="128"/>
      <c r="M251" s="128"/>
      <c r="N251" s="128"/>
      <c r="O251" s="128"/>
      <c r="P251" s="73"/>
    </row>
    <row r="252" spans="1:16" x14ac:dyDescent="0.25">
      <c r="A252" s="75"/>
      <c r="B252" s="1"/>
      <c r="C252" s="1"/>
      <c r="D252" s="62"/>
      <c r="E252" s="62"/>
      <c r="F252" s="75"/>
      <c r="G252" s="75"/>
      <c r="H252" s="75"/>
      <c r="I252" s="76"/>
      <c r="J252" s="76"/>
      <c r="K252" s="76"/>
      <c r="L252" s="76"/>
      <c r="M252" s="76"/>
      <c r="N252" s="77"/>
      <c r="O252" s="77"/>
      <c r="P252" s="78"/>
    </row>
    <row r="253" spans="1:16" x14ac:dyDescent="0.25">
      <c r="A253" s="75"/>
      <c r="B253" s="107" t="s">
        <v>148</v>
      </c>
      <c r="C253" s="107"/>
      <c r="D253" s="107" t="s">
        <v>94</v>
      </c>
      <c r="E253" s="107"/>
      <c r="F253" s="107"/>
      <c r="G253" s="129" t="s">
        <v>149</v>
      </c>
      <c r="H253" s="130"/>
      <c r="I253" s="122" t="s">
        <v>147</v>
      </c>
      <c r="J253" s="122"/>
      <c r="K253" s="122"/>
      <c r="L253" s="122"/>
      <c r="M253" s="122"/>
      <c r="N253" s="122"/>
      <c r="O253" s="122"/>
      <c r="P253" s="78"/>
    </row>
    <row r="254" spans="1:16" x14ac:dyDescent="0.25">
      <c r="A254" s="75"/>
      <c r="B254" s="119" t="s">
        <v>150</v>
      </c>
      <c r="C254" s="119"/>
      <c r="D254" s="119">
        <f>G81</f>
        <v>0</v>
      </c>
      <c r="E254" s="119"/>
      <c r="F254" s="119"/>
      <c r="G254" s="120" t="e">
        <f>D254/$D$258</f>
        <v>#DIV/0!</v>
      </c>
      <c r="H254" s="121"/>
      <c r="I254" s="122"/>
      <c r="J254" s="122"/>
      <c r="K254" s="122"/>
      <c r="L254" s="122"/>
      <c r="M254" s="122"/>
      <c r="N254" s="122"/>
      <c r="O254" s="122"/>
      <c r="P254" s="78"/>
    </row>
    <row r="255" spans="1:16" x14ac:dyDescent="0.25">
      <c r="A255" s="75"/>
      <c r="B255" s="119" t="s">
        <v>151</v>
      </c>
      <c r="C255" s="119"/>
      <c r="D255" s="119">
        <f>G148</f>
        <v>0</v>
      </c>
      <c r="E255" s="119"/>
      <c r="F255" s="119"/>
      <c r="G255" s="120" t="e">
        <f t="shared" ref="G255:G257" si="47">D255/$D$258</f>
        <v>#DIV/0!</v>
      </c>
      <c r="H255" s="121"/>
      <c r="I255" s="122"/>
      <c r="J255" s="122"/>
      <c r="K255" s="122"/>
      <c r="L255" s="122"/>
      <c r="M255" s="122"/>
      <c r="N255" s="122"/>
      <c r="O255" s="122"/>
      <c r="P255" s="78"/>
    </row>
    <row r="256" spans="1:16" x14ac:dyDescent="0.25">
      <c r="A256" s="75"/>
      <c r="B256" s="119" t="s">
        <v>152</v>
      </c>
      <c r="C256" s="119"/>
      <c r="D256" s="119">
        <f>G191</f>
        <v>0</v>
      </c>
      <c r="E256" s="119"/>
      <c r="F256" s="119"/>
      <c r="G256" s="120" t="e">
        <f t="shared" si="47"/>
        <v>#DIV/0!</v>
      </c>
      <c r="H256" s="121"/>
      <c r="I256" s="122"/>
      <c r="J256" s="122"/>
      <c r="K256" s="122"/>
      <c r="L256" s="122"/>
      <c r="M256" s="122"/>
      <c r="N256" s="122"/>
      <c r="O256" s="122"/>
      <c r="P256" s="78"/>
    </row>
    <row r="257" spans="1:16" x14ac:dyDescent="0.25">
      <c r="A257" s="75"/>
      <c r="B257" s="119" t="s">
        <v>153</v>
      </c>
      <c r="C257" s="119"/>
      <c r="D257" s="119">
        <f>G226</f>
        <v>0</v>
      </c>
      <c r="E257" s="119"/>
      <c r="F257" s="119"/>
      <c r="G257" s="120" t="e">
        <f t="shared" si="47"/>
        <v>#DIV/0!</v>
      </c>
      <c r="H257" s="121"/>
      <c r="I257" s="122"/>
      <c r="J257" s="122"/>
      <c r="K257" s="122"/>
      <c r="L257" s="122"/>
      <c r="M257" s="122"/>
      <c r="N257" s="122"/>
      <c r="O257" s="122"/>
      <c r="P257" s="78"/>
    </row>
    <row r="258" spans="1:16" x14ac:dyDescent="0.25">
      <c r="A258" s="75"/>
      <c r="B258" s="119" t="s">
        <v>111</v>
      </c>
      <c r="C258" s="119"/>
      <c r="D258" s="119">
        <f>SUM(D254:F257)</f>
        <v>0</v>
      </c>
      <c r="E258" s="119"/>
      <c r="F258" s="119"/>
      <c r="G258" s="120" t="e">
        <f>SUM(G254:H257)</f>
        <v>#DIV/0!</v>
      </c>
      <c r="H258" s="121"/>
      <c r="I258" s="122"/>
      <c r="J258" s="122"/>
      <c r="K258" s="122"/>
      <c r="L258" s="122"/>
      <c r="M258" s="122"/>
      <c r="N258" s="122"/>
      <c r="O258" s="122"/>
      <c r="P258" s="78"/>
    </row>
    <row r="259" spans="1:16" x14ac:dyDescent="0.25">
      <c r="A259" s="75"/>
      <c r="B259" s="1"/>
      <c r="C259" s="1"/>
      <c r="D259" s="62"/>
      <c r="E259" s="62"/>
      <c r="F259" s="75"/>
      <c r="G259" s="75"/>
      <c r="H259" s="75"/>
      <c r="I259" s="76"/>
      <c r="J259" s="76"/>
      <c r="K259" s="76"/>
      <c r="L259" s="76"/>
      <c r="M259" s="76"/>
      <c r="N259" s="77"/>
      <c r="O259" s="77"/>
      <c r="P259" s="78"/>
    </row>
    <row r="260" spans="1:16" x14ac:dyDescent="0.25">
      <c r="A260" s="75"/>
      <c r="B260" s="1"/>
      <c r="C260" s="1"/>
      <c r="D260" s="62"/>
      <c r="E260" s="62"/>
      <c r="F260" s="75"/>
      <c r="G260" s="75"/>
      <c r="H260" s="75"/>
      <c r="I260" s="76"/>
      <c r="J260" s="76"/>
      <c r="K260" s="76"/>
      <c r="L260" s="76"/>
      <c r="M260" s="76"/>
      <c r="N260" s="77"/>
      <c r="O260" s="77"/>
      <c r="P260" s="78"/>
    </row>
    <row r="261" spans="1:16" x14ac:dyDescent="0.25">
      <c r="A261" s="75"/>
      <c r="B261" s="1"/>
      <c r="C261" s="1"/>
      <c r="D261" s="62"/>
      <c r="E261" s="62"/>
      <c r="F261" s="75"/>
      <c r="G261" s="75"/>
      <c r="H261" s="75"/>
      <c r="I261" s="76"/>
      <c r="J261" s="76"/>
      <c r="K261" s="76"/>
      <c r="L261" s="76"/>
      <c r="M261" s="76"/>
      <c r="N261" s="77"/>
      <c r="O261" s="77"/>
      <c r="P261" s="78"/>
    </row>
    <row r="262" spans="1:16" x14ac:dyDescent="0.25">
      <c r="A262" s="75"/>
      <c r="B262" s="1"/>
      <c r="C262" s="1"/>
      <c r="D262" s="62"/>
      <c r="E262" s="62"/>
      <c r="F262" s="75"/>
      <c r="G262" s="75"/>
      <c r="H262" s="75"/>
      <c r="I262" s="76"/>
      <c r="J262" s="76"/>
      <c r="K262" s="76"/>
      <c r="L262" s="76"/>
      <c r="M262" s="76"/>
      <c r="N262" s="77"/>
      <c r="O262" s="77"/>
      <c r="P262" s="78"/>
    </row>
    <row r="263" spans="1:16" x14ac:dyDescent="0.25">
      <c r="A263" s="123" t="s">
        <v>154</v>
      </c>
      <c r="B263" s="124"/>
      <c r="C263" s="124"/>
      <c r="D263" s="124"/>
      <c r="E263" s="124"/>
      <c r="F263" s="124"/>
      <c r="G263" s="124"/>
      <c r="H263" s="124"/>
      <c r="I263" s="124"/>
      <c r="J263" s="124"/>
      <c r="K263" s="124"/>
      <c r="L263" s="124"/>
      <c r="M263" s="124"/>
      <c r="N263" s="124"/>
      <c r="O263" s="124"/>
      <c r="P263" s="125"/>
    </row>
    <row r="264" spans="1:16" x14ac:dyDescent="0.25">
      <c r="A264" s="75"/>
      <c r="B264" s="75"/>
      <c r="C264" s="75"/>
      <c r="D264" s="75"/>
      <c r="E264" s="75"/>
      <c r="F264" s="75"/>
      <c r="G264" s="75"/>
      <c r="H264" s="75"/>
      <c r="I264" s="75"/>
      <c r="J264" s="75"/>
      <c r="K264" s="75"/>
      <c r="L264" s="75"/>
      <c r="M264" s="75"/>
      <c r="N264" s="75"/>
      <c r="O264" s="75"/>
      <c r="P264" s="75"/>
    </row>
    <row r="265" spans="1:16" x14ac:dyDescent="0.25">
      <c r="A265" s="114" t="s">
        <v>155</v>
      </c>
      <c r="B265" s="114"/>
      <c r="C265" s="114"/>
      <c r="D265" s="107"/>
      <c r="E265" s="107"/>
      <c r="F265" s="79"/>
      <c r="G265" s="79"/>
      <c r="H265" s="79"/>
      <c r="I265" s="114" t="s">
        <v>156</v>
      </c>
      <c r="J265" s="114"/>
      <c r="K265" s="114"/>
      <c r="L265" s="114"/>
      <c r="M265" s="107"/>
      <c r="N265" s="107"/>
      <c r="O265" s="79"/>
      <c r="P265" s="79"/>
    </row>
    <row r="266" spans="1:16" x14ac:dyDescent="0.25">
      <c r="A266" s="62"/>
      <c r="B266" s="62"/>
      <c r="C266" s="62"/>
      <c r="D266" s="62"/>
      <c r="E266" s="62"/>
      <c r="F266" s="62"/>
      <c r="G266" s="62"/>
      <c r="H266" s="62"/>
      <c r="I266" s="62"/>
      <c r="J266" s="62"/>
      <c r="K266" s="62"/>
      <c r="L266" s="62"/>
      <c r="M266" s="62"/>
      <c r="N266" s="62"/>
      <c r="O266" s="62"/>
      <c r="P266" s="62"/>
    </row>
    <row r="267" spans="1:16" ht="28.5" customHeight="1" x14ac:dyDescent="0.25">
      <c r="A267" s="107" t="s">
        <v>157</v>
      </c>
      <c r="B267" s="107"/>
      <c r="C267" s="107"/>
      <c r="D267" s="107"/>
      <c r="E267" s="107" t="s">
        <v>158</v>
      </c>
      <c r="F267" s="107"/>
      <c r="G267" s="107"/>
      <c r="H267" s="107" t="s">
        <v>159</v>
      </c>
      <c r="I267" s="107"/>
      <c r="J267" s="107"/>
      <c r="K267" s="107" t="s">
        <v>160</v>
      </c>
      <c r="L267" s="107"/>
      <c r="M267" s="107"/>
      <c r="N267" s="107" t="s">
        <v>161</v>
      </c>
      <c r="O267" s="107"/>
      <c r="P267" s="107"/>
    </row>
    <row r="268" spans="1:16" x14ac:dyDescent="0.25">
      <c r="A268" s="107">
        <f>D258</f>
        <v>0</v>
      </c>
      <c r="B268" s="107"/>
      <c r="C268" s="107"/>
      <c r="D268" s="107"/>
      <c r="E268" s="107">
        <f>+H148+H191+H226+H81</f>
        <v>0</v>
      </c>
      <c r="F268" s="107"/>
      <c r="G268" s="107"/>
      <c r="H268" s="115" t="e">
        <f>E268/A268</f>
        <v>#DIV/0!</v>
      </c>
      <c r="I268" s="115"/>
      <c r="J268" s="115"/>
      <c r="K268" s="116" t="e">
        <f>K226+K191+K148+K81</f>
        <v>#DIV/0!</v>
      </c>
      <c r="L268" s="117"/>
      <c r="M268" s="118"/>
      <c r="N268" s="107" t="e">
        <f>IF(AND(K268&gt;$B$251,K268&lt;=$C$251),$D$251,IF(AND(K268&gt;$B$250,K268&lt;=$C$250),$D$250,IF(AND(K268&gt;$B$249,K268&lt;=$C$249),$D$249,IF(AND(K268&gt;$B$248,K268&lt;=$C$248),$D$248,IF(AND(K268&gt;$B$247,K268&lt;=$C$247),$D$247,"0")))))</f>
        <v>#DIV/0!</v>
      </c>
      <c r="O268" s="107"/>
      <c r="P268" s="107"/>
    </row>
    <row r="269" spans="1:16" x14ac:dyDescent="0.25">
      <c r="A269" s="62"/>
      <c r="B269" s="62"/>
      <c r="C269" s="62"/>
      <c r="D269" s="62"/>
      <c r="E269" s="62"/>
      <c r="F269" s="62"/>
      <c r="G269" s="62"/>
      <c r="H269" s="1"/>
      <c r="I269" s="1"/>
      <c r="J269" s="1"/>
      <c r="K269" s="1"/>
      <c r="L269" s="1"/>
      <c r="M269" s="1"/>
      <c r="N269" s="62"/>
      <c r="O269" s="62"/>
      <c r="P269" s="62"/>
    </row>
    <row r="270" spans="1:16" x14ac:dyDescent="0.25">
      <c r="A270" s="107" t="s">
        <v>162</v>
      </c>
      <c r="B270" s="107"/>
      <c r="C270" s="107"/>
      <c r="D270" s="107"/>
      <c r="E270" s="107"/>
      <c r="F270" s="107"/>
      <c r="G270" s="107"/>
      <c r="H270" s="107"/>
      <c r="I270" s="107"/>
      <c r="J270" s="107"/>
      <c r="K270" s="107"/>
      <c r="L270" s="107"/>
      <c r="M270" s="107"/>
      <c r="N270" s="107"/>
      <c r="O270" s="107"/>
      <c r="P270" s="107"/>
    </row>
    <row r="271" spans="1:16" x14ac:dyDescent="0.25">
      <c r="A271" s="108"/>
      <c r="B271" s="109"/>
      <c r="C271" s="109"/>
      <c r="D271" s="109"/>
      <c r="E271" s="109"/>
      <c r="F271" s="109"/>
      <c r="G271" s="109"/>
      <c r="H271" s="109"/>
      <c r="I271" s="109"/>
      <c r="J271" s="109"/>
      <c r="K271" s="109"/>
      <c r="L271" s="109"/>
      <c r="M271" s="109"/>
      <c r="N271" s="109"/>
      <c r="O271" s="109"/>
      <c r="P271" s="110"/>
    </row>
    <row r="272" spans="1:16" x14ac:dyDescent="0.25">
      <c r="A272" s="111"/>
      <c r="B272" s="112"/>
      <c r="C272" s="112"/>
      <c r="D272" s="112"/>
      <c r="E272" s="112"/>
      <c r="F272" s="112"/>
      <c r="G272" s="112"/>
      <c r="H272" s="112"/>
      <c r="I272" s="112"/>
      <c r="J272" s="112"/>
      <c r="K272" s="112"/>
      <c r="L272" s="112"/>
      <c r="M272" s="112"/>
      <c r="N272" s="112"/>
      <c r="O272" s="112"/>
      <c r="P272" s="113"/>
    </row>
    <row r="273" spans="1:16" x14ac:dyDescent="0.25">
      <c r="A273" s="114"/>
      <c r="B273" s="114"/>
      <c r="C273" s="114"/>
      <c r="D273" s="114"/>
      <c r="E273" s="114"/>
      <c r="F273" s="114"/>
      <c r="G273" s="114"/>
      <c r="H273" s="114"/>
      <c r="I273" s="114"/>
      <c r="J273" s="114"/>
      <c r="K273" s="114"/>
      <c r="L273" s="114"/>
      <c r="M273" s="114"/>
      <c r="N273" s="114"/>
      <c r="O273" s="114"/>
      <c r="P273" s="114"/>
    </row>
    <row r="274" spans="1:16" x14ac:dyDescent="0.25">
      <c r="A274" s="104" t="s">
        <v>163</v>
      </c>
      <c r="B274" s="104"/>
      <c r="C274" s="104"/>
      <c r="D274" s="104"/>
      <c r="E274" s="104"/>
      <c r="F274" s="104"/>
      <c r="G274" s="104"/>
      <c r="H274" s="104"/>
      <c r="I274" s="104"/>
      <c r="J274" s="104"/>
      <c r="K274" s="104"/>
      <c r="L274" s="104"/>
      <c r="M274" s="104"/>
      <c r="N274" s="104"/>
      <c r="O274" s="104"/>
      <c r="P274" s="104"/>
    </row>
    <row r="275" spans="1:16" x14ac:dyDescent="0.25">
      <c r="A275" s="104" t="s">
        <v>164</v>
      </c>
      <c r="B275" s="104"/>
      <c r="C275" s="104"/>
      <c r="D275" s="104"/>
      <c r="E275" s="104"/>
      <c r="F275" s="104"/>
      <c r="G275" s="104"/>
      <c r="H275" s="104"/>
      <c r="I275" s="104"/>
      <c r="J275" s="104"/>
      <c r="K275" s="104"/>
      <c r="L275" s="104"/>
      <c r="M275" s="104"/>
      <c r="N275" s="104"/>
      <c r="O275" s="104"/>
      <c r="P275" s="104"/>
    </row>
    <row r="276" spans="1:16" x14ac:dyDescent="0.25">
      <c r="A276" s="104" t="s">
        <v>165</v>
      </c>
      <c r="B276" s="104"/>
      <c r="C276" s="104"/>
      <c r="D276" s="104"/>
      <c r="E276" s="104"/>
      <c r="F276" s="104"/>
      <c r="G276" s="104"/>
      <c r="H276" s="104"/>
      <c r="I276" s="104"/>
      <c r="J276" s="104"/>
      <c r="K276" s="104"/>
      <c r="L276" s="104"/>
      <c r="M276" s="104"/>
      <c r="N276" s="104"/>
      <c r="O276" s="104"/>
      <c r="P276" s="104"/>
    </row>
    <row r="277" spans="1:16" x14ac:dyDescent="0.25">
      <c r="A277" s="104" t="s">
        <v>166</v>
      </c>
      <c r="B277" s="104"/>
      <c r="C277" s="104"/>
      <c r="D277" s="104"/>
      <c r="E277" s="104"/>
      <c r="F277" s="104"/>
      <c r="G277" s="104"/>
      <c r="H277" s="104"/>
      <c r="I277" s="104"/>
      <c r="J277" s="104"/>
      <c r="K277" s="104"/>
      <c r="L277" s="104"/>
      <c r="M277" s="104"/>
      <c r="N277" s="104"/>
      <c r="O277" s="104"/>
      <c r="P277" s="104"/>
    </row>
    <row r="278" spans="1:16" x14ac:dyDescent="0.25">
      <c r="A278" s="104" t="s">
        <v>167</v>
      </c>
      <c r="B278" s="104"/>
      <c r="C278" s="104"/>
      <c r="D278" s="104"/>
      <c r="E278" s="104"/>
      <c r="F278" s="104"/>
      <c r="G278" s="104"/>
      <c r="H278" s="104"/>
      <c r="I278" s="104"/>
      <c r="J278" s="104"/>
      <c r="K278" s="104"/>
      <c r="L278" s="104"/>
      <c r="M278" s="104"/>
      <c r="N278" s="104"/>
      <c r="O278" s="104"/>
      <c r="P278" s="104"/>
    </row>
    <row r="279" spans="1:16" x14ac:dyDescent="0.25">
      <c r="A279" s="104" t="s">
        <v>168</v>
      </c>
      <c r="B279" s="104"/>
      <c r="C279" s="104"/>
      <c r="D279" s="104"/>
      <c r="E279" s="104"/>
      <c r="F279" s="104"/>
      <c r="G279" s="104"/>
      <c r="H279" s="104"/>
      <c r="I279" s="104"/>
      <c r="J279" s="104"/>
      <c r="K279" s="104"/>
      <c r="L279" s="104"/>
      <c r="M279" s="104"/>
      <c r="N279" s="104"/>
      <c r="O279" s="104"/>
      <c r="P279" s="104"/>
    </row>
    <row r="280" spans="1:16" x14ac:dyDescent="0.25">
      <c r="A280" s="80"/>
      <c r="B280" s="105"/>
      <c r="C280" s="105"/>
      <c r="D280" s="105"/>
      <c r="E280" s="105"/>
      <c r="F280" s="105"/>
      <c r="G280" s="105"/>
      <c r="H280" s="81"/>
      <c r="I280" s="81"/>
      <c r="J280" s="105"/>
      <c r="K280" s="105"/>
      <c r="L280" s="105"/>
      <c r="M280" s="105"/>
      <c r="N280" s="105"/>
      <c r="O280" s="105"/>
      <c r="P280" s="82"/>
    </row>
    <row r="281" spans="1:16" x14ac:dyDescent="0.25">
      <c r="A281" s="83"/>
      <c r="B281" s="84"/>
      <c r="C281" s="84"/>
      <c r="D281" s="84"/>
      <c r="E281" s="84"/>
      <c r="F281" s="84"/>
      <c r="G281" s="84"/>
      <c r="H281" s="85"/>
      <c r="I281" s="85"/>
      <c r="J281" s="84"/>
      <c r="K281" s="84"/>
      <c r="L281" s="84"/>
      <c r="M281" s="84"/>
      <c r="N281" s="84"/>
      <c r="O281" s="84"/>
      <c r="P281" s="86"/>
    </row>
    <row r="282" spans="1:16" x14ac:dyDescent="0.25">
      <c r="A282" s="87"/>
      <c r="B282" s="85"/>
      <c r="C282" s="85"/>
      <c r="D282" s="85" t="s">
        <v>169</v>
      </c>
      <c r="E282" s="88"/>
      <c r="F282" s="85"/>
      <c r="G282" s="85"/>
      <c r="H282" s="85"/>
      <c r="I282" s="85"/>
      <c r="J282" s="88"/>
      <c r="K282" s="88"/>
      <c r="L282" s="76" t="s">
        <v>169</v>
      </c>
      <c r="M282" s="85"/>
      <c r="N282" s="85"/>
      <c r="O282" s="85"/>
      <c r="P282" s="89"/>
    </row>
    <row r="283" spans="1:16" x14ac:dyDescent="0.25">
      <c r="A283" s="83"/>
      <c r="B283" s="90" t="s">
        <v>170</v>
      </c>
      <c r="C283" s="30"/>
      <c r="D283" s="30"/>
      <c r="E283" s="30"/>
      <c r="F283" s="30"/>
      <c r="G283" s="30"/>
      <c r="H283" s="85"/>
      <c r="I283" s="85"/>
      <c r="J283" s="90" t="s">
        <v>170</v>
      </c>
      <c r="K283" s="30"/>
      <c r="L283" s="30"/>
      <c r="M283" s="30"/>
      <c r="N283" s="30"/>
      <c r="O283" s="30"/>
      <c r="P283" s="91"/>
    </row>
    <row r="284" spans="1:16" x14ac:dyDescent="0.25">
      <c r="A284" s="83"/>
      <c r="B284" s="106" t="s">
        <v>171</v>
      </c>
      <c r="C284" s="106"/>
      <c r="D284" s="76"/>
      <c r="E284" s="76"/>
      <c r="F284" s="76"/>
      <c r="G284" s="76"/>
      <c r="H284" s="85"/>
      <c r="I284" s="85"/>
      <c r="J284" s="90" t="s">
        <v>172</v>
      </c>
      <c r="K284" s="90"/>
      <c r="L284" s="76"/>
      <c r="M284" s="76"/>
      <c r="N284" s="76"/>
      <c r="O284" s="76"/>
      <c r="P284" s="92"/>
    </row>
    <row r="285" spans="1:16" x14ac:dyDescent="0.25">
      <c r="A285" s="83"/>
      <c r="B285" s="93" t="s">
        <v>173</v>
      </c>
      <c r="C285" s="101"/>
      <c r="D285" s="101"/>
      <c r="E285" s="101"/>
      <c r="F285" s="101"/>
      <c r="G285" s="101"/>
      <c r="H285" s="85"/>
      <c r="I285" s="85"/>
      <c r="J285" s="93" t="s">
        <v>173</v>
      </c>
      <c r="K285" s="101"/>
      <c r="L285" s="101"/>
      <c r="M285" s="101"/>
      <c r="N285" s="101"/>
      <c r="O285" s="101"/>
      <c r="P285" s="92"/>
    </row>
    <row r="286" spans="1:16" x14ac:dyDescent="0.25">
      <c r="A286" s="83"/>
      <c r="B286" s="85"/>
      <c r="C286" s="94"/>
      <c r="D286" s="94"/>
      <c r="E286" s="76"/>
      <c r="F286" s="76"/>
      <c r="G286" s="85"/>
      <c r="H286" s="85"/>
      <c r="I286" s="85"/>
      <c r="J286" s="85"/>
      <c r="K286" s="85"/>
      <c r="L286" s="85"/>
      <c r="M286" s="95"/>
      <c r="N286" s="76"/>
      <c r="O286" s="76"/>
      <c r="P286" s="86"/>
    </row>
    <row r="287" spans="1:16" x14ac:dyDescent="0.25">
      <c r="A287" s="83"/>
      <c r="B287" s="85"/>
      <c r="C287" s="94"/>
      <c r="D287" s="94"/>
      <c r="E287" s="76"/>
      <c r="F287" s="76"/>
      <c r="G287" s="85"/>
      <c r="H287" s="85"/>
      <c r="I287" s="85"/>
      <c r="J287" s="85"/>
      <c r="K287" s="85"/>
      <c r="L287" s="85"/>
      <c r="M287" s="94"/>
      <c r="N287" s="76"/>
      <c r="O287" s="76"/>
      <c r="P287" s="86"/>
    </row>
    <row r="288" spans="1:16" x14ac:dyDescent="0.25">
      <c r="A288" s="83"/>
      <c r="B288" s="102"/>
      <c r="C288" s="102"/>
      <c r="D288" s="102"/>
      <c r="E288" s="102"/>
      <c r="F288" s="102"/>
      <c r="G288" s="102"/>
      <c r="H288" s="85"/>
      <c r="I288" s="85"/>
      <c r="J288" s="102"/>
      <c r="K288" s="102"/>
      <c r="L288" s="102"/>
      <c r="M288" s="102"/>
      <c r="N288" s="102"/>
      <c r="O288" s="102"/>
      <c r="P288" s="86"/>
    </row>
    <row r="289" spans="1:16" x14ac:dyDescent="0.25">
      <c r="A289" s="83"/>
      <c r="B289" s="85"/>
      <c r="C289" s="85"/>
      <c r="D289" s="85" t="s">
        <v>169</v>
      </c>
      <c r="E289" s="88"/>
      <c r="F289" s="85"/>
      <c r="G289" s="85"/>
      <c r="H289" s="85"/>
      <c r="I289" s="85"/>
      <c r="J289" s="85"/>
      <c r="K289" s="85"/>
      <c r="L289" s="76" t="s">
        <v>169</v>
      </c>
      <c r="M289" s="88"/>
      <c r="N289" s="85"/>
      <c r="O289" s="85"/>
      <c r="P289" s="86"/>
    </row>
    <row r="290" spans="1:16" x14ac:dyDescent="0.25">
      <c r="A290" s="83"/>
      <c r="B290" s="90" t="s">
        <v>170</v>
      </c>
      <c r="C290" s="30"/>
      <c r="D290" s="30"/>
      <c r="E290" s="30"/>
      <c r="F290" s="30"/>
      <c r="G290" s="30"/>
      <c r="H290" s="85"/>
      <c r="I290" s="85"/>
      <c r="J290" s="90" t="s">
        <v>170</v>
      </c>
      <c r="K290" s="30"/>
      <c r="L290" s="30"/>
      <c r="M290" s="30"/>
      <c r="N290" s="30"/>
      <c r="O290" s="30"/>
      <c r="P290" s="86"/>
    </row>
    <row r="291" spans="1:16" ht="25.5" customHeight="1" x14ac:dyDescent="0.25">
      <c r="A291" s="83"/>
      <c r="B291" s="103" t="s">
        <v>174</v>
      </c>
      <c r="C291" s="103"/>
      <c r="D291" s="76"/>
      <c r="E291" s="76"/>
      <c r="F291" s="76"/>
      <c r="G291" s="76"/>
      <c r="H291" s="85"/>
      <c r="I291" s="85"/>
      <c r="J291" s="103" t="s">
        <v>175</v>
      </c>
      <c r="K291" s="103"/>
      <c r="L291" s="76"/>
      <c r="M291" s="76"/>
      <c r="N291" s="76"/>
      <c r="O291" s="76"/>
      <c r="P291" s="86"/>
    </row>
    <row r="292" spans="1:16" x14ac:dyDescent="0.25">
      <c r="A292" s="83"/>
      <c r="B292" s="90" t="s">
        <v>173</v>
      </c>
      <c r="C292" s="75"/>
      <c r="D292" s="75"/>
      <c r="E292" s="75"/>
      <c r="F292" s="75"/>
      <c r="G292" s="75"/>
      <c r="H292" s="85"/>
      <c r="I292" s="85"/>
      <c r="J292" s="90" t="s">
        <v>173</v>
      </c>
      <c r="K292" s="75"/>
      <c r="L292" s="75"/>
      <c r="M292" s="75"/>
      <c r="N292" s="75"/>
      <c r="O292" s="75"/>
      <c r="P292" s="86"/>
    </row>
    <row r="293" spans="1:16" x14ac:dyDescent="0.25">
      <c r="A293" s="96"/>
      <c r="B293" s="72"/>
      <c r="C293" s="72"/>
      <c r="D293" s="72"/>
      <c r="E293" s="72"/>
      <c r="F293" s="72"/>
      <c r="G293" s="72"/>
      <c r="H293" s="72"/>
      <c r="I293" s="72"/>
      <c r="J293" s="72"/>
      <c r="K293" s="72"/>
      <c r="L293" s="72"/>
      <c r="M293" s="72"/>
      <c r="N293" s="72"/>
      <c r="O293" s="72"/>
      <c r="P293" s="97"/>
    </row>
    <row r="294" spans="1:16" x14ac:dyDescent="0.25">
      <c r="A294" s="96"/>
      <c r="B294" s="72"/>
      <c r="C294" s="72"/>
      <c r="D294" s="72"/>
      <c r="E294" s="72"/>
      <c r="F294" s="72"/>
      <c r="G294" s="72"/>
      <c r="H294" s="72"/>
      <c r="I294" s="72"/>
      <c r="J294" s="72"/>
      <c r="K294" s="72"/>
      <c r="L294" s="72"/>
      <c r="M294" s="72"/>
      <c r="N294" s="72"/>
      <c r="O294" s="72"/>
      <c r="P294" s="97"/>
    </row>
    <row r="295" spans="1:16" x14ac:dyDescent="0.25">
      <c r="A295" s="98"/>
      <c r="B295" s="99"/>
      <c r="C295" s="99"/>
      <c r="D295" s="99"/>
      <c r="E295" s="99"/>
      <c r="F295" s="99"/>
      <c r="G295" s="99"/>
      <c r="H295" s="99"/>
      <c r="I295" s="99"/>
      <c r="J295" s="99"/>
      <c r="K295" s="99"/>
      <c r="L295" s="99"/>
      <c r="M295" s="99"/>
      <c r="N295" s="99"/>
      <c r="O295" s="99"/>
      <c r="P295" s="100"/>
    </row>
    <row r="296" spans="1:16" x14ac:dyDescent="0.25">
      <c r="A296" s="98"/>
      <c r="B296" s="99"/>
      <c r="C296" s="99"/>
      <c r="D296" s="99"/>
      <c r="E296" s="99"/>
      <c r="F296" s="99"/>
      <c r="G296" s="99"/>
      <c r="H296" s="99"/>
      <c r="I296" s="99"/>
      <c r="J296" s="99"/>
      <c r="K296" s="99"/>
      <c r="L296" s="99"/>
      <c r="M296" s="99"/>
      <c r="N296" s="99"/>
      <c r="O296" s="99"/>
      <c r="P296" s="100"/>
    </row>
  </sheetData>
  <mergeCells count="887">
    <mergeCell ref="L5:M6"/>
    <mergeCell ref="A8:B8"/>
    <mergeCell ref="C8:E8"/>
    <mergeCell ref="F8:H8"/>
    <mergeCell ref="L8:M8"/>
    <mergeCell ref="N8:P8"/>
    <mergeCell ref="A1:B6"/>
    <mergeCell ref="C1:K1"/>
    <mergeCell ref="L1:M2"/>
    <mergeCell ref="N1:P2"/>
    <mergeCell ref="C2:K2"/>
    <mergeCell ref="C3:K3"/>
    <mergeCell ref="L3:M4"/>
    <mergeCell ref="N3:P4"/>
    <mergeCell ref="C4:K4"/>
    <mergeCell ref="C5:K5"/>
    <mergeCell ref="N5:P6"/>
    <mergeCell ref="A20:C20"/>
    <mergeCell ref="A21:B22"/>
    <mergeCell ref="C21:C22"/>
    <mergeCell ref="D21:E22"/>
    <mergeCell ref="F21:G22"/>
    <mergeCell ref="K21:N22"/>
    <mergeCell ref="A10:B10"/>
    <mergeCell ref="H10:J10"/>
    <mergeCell ref="K10:L10"/>
    <mergeCell ref="A14:B14"/>
    <mergeCell ref="I14:J14"/>
    <mergeCell ref="A17:B17"/>
    <mergeCell ref="I17:J17"/>
    <mergeCell ref="A27:C27"/>
    <mergeCell ref="D27:F27"/>
    <mergeCell ref="G27:I27"/>
    <mergeCell ref="J27:K27"/>
    <mergeCell ref="L27:N27"/>
    <mergeCell ref="O27:P27"/>
    <mergeCell ref="O21:P22"/>
    <mergeCell ref="A23:P23"/>
    <mergeCell ref="A24:P24"/>
    <mergeCell ref="A25:P25"/>
    <mergeCell ref="A26:C26"/>
    <mergeCell ref="D26:F26"/>
    <mergeCell ref="G26:I26"/>
    <mergeCell ref="J26:K26"/>
    <mergeCell ref="L26:N26"/>
    <mergeCell ref="O26:P26"/>
    <mergeCell ref="A29:C29"/>
    <mergeCell ref="D29:F29"/>
    <mergeCell ref="G29:I29"/>
    <mergeCell ref="J29:K29"/>
    <mergeCell ref="L29:N29"/>
    <mergeCell ref="O29:P29"/>
    <mergeCell ref="A28:C28"/>
    <mergeCell ref="D28:F28"/>
    <mergeCell ref="G28:I28"/>
    <mergeCell ref="J28:K28"/>
    <mergeCell ref="L28:N28"/>
    <mergeCell ref="O28:P28"/>
    <mergeCell ref="A31:C31"/>
    <mergeCell ref="D31:F31"/>
    <mergeCell ref="G31:I31"/>
    <mergeCell ref="J31:K31"/>
    <mergeCell ref="L31:N31"/>
    <mergeCell ref="O31:P31"/>
    <mergeCell ref="A30:C30"/>
    <mergeCell ref="D30:F30"/>
    <mergeCell ref="G30:I30"/>
    <mergeCell ref="J30:K30"/>
    <mergeCell ref="L30:N30"/>
    <mergeCell ref="O30:P30"/>
    <mergeCell ref="A33:C33"/>
    <mergeCell ref="D33:F33"/>
    <mergeCell ref="G33:I33"/>
    <mergeCell ref="J33:K33"/>
    <mergeCell ref="L33:N33"/>
    <mergeCell ref="O33:P33"/>
    <mergeCell ref="A32:C32"/>
    <mergeCell ref="D32:F32"/>
    <mergeCell ref="G32:I32"/>
    <mergeCell ref="J32:K32"/>
    <mergeCell ref="L32:N32"/>
    <mergeCell ref="O32:P32"/>
    <mergeCell ref="A35:C35"/>
    <mergeCell ref="D35:F35"/>
    <mergeCell ref="G35:I35"/>
    <mergeCell ref="J35:K35"/>
    <mergeCell ref="L35:N35"/>
    <mergeCell ref="O35:P35"/>
    <mergeCell ref="A34:C34"/>
    <mergeCell ref="D34:F34"/>
    <mergeCell ref="G34:I34"/>
    <mergeCell ref="J34:K34"/>
    <mergeCell ref="L34:N34"/>
    <mergeCell ref="O34:P34"/>
    <mergeCell ref="A37:C37"/>
    <mergeCell ref="D37:F37"/>
    <mergeCell ref="G37:I37"/>
    <mergeCell ref="J37:K37"/>
    <mergeCell ref="L37:N37"/>
    <mergeCell ref="O37:P37"/>
    <mergeCell ref="A36:C36"/>
    <mergeCell ref="D36:F36"/>
    <mergeCell ref="G36:I36"/>
    <mergeCell ref="J36:K36"/>
    <mergeCell ref="L36:N36"/>
    <mergeCell ref="O36:P36"/>
    <mergeCell ref="A39:C39"/>
    <mergeCell ref="D39:F39"/>
    <mergeCell ref="G39:I39"/>
    <mergeCell ref="J39:K39"/>
    <mergeCell ref="L39:N39"/>
    <mergeCell ref="O39:P39"/>
    <mergeCell ref="A38:C38"/>
    <mergeCell ref="D38:F38"/>
    <mergeCell ref="G38:I38"/>
    <mergeCell ref="J38:K38"/>
    <mergeCell ref="L38:N38"/>
    <mergeCell ref="O38:P38"/>
    <mergeCell ref="A41:C41"/>
    <mergeCell ref="D41:F41"/>
    <mergeCell ref="G41:I41"/>
    <mergeCell ref="J41:K41"/>
    <mergeCell ref="L41:N41"/>
    <mergeCell ref="O41:P41"/>
    <mergeCell ref="A40:C40"/>
    <mergeCell ref="D40:F40"/>
    <mergeCell ref="G40:I40"/>
    <mergeCell ref="J40:K40"/>
    <mergeCell ref="L40:N40"/>
    <mergeCell ref="O40:P40"/>
    <mergeCell ref="A42:K42"/>
    <mergeCell ref="L42:N42"/>
    <mergeCell ref="O42:P42"/>
    <mergeCell ref="A44:P44"/>
    <mergeCell ref="A45:P45"/>
    <mergeCell ref="D46:E46"/>
    <mergeCell ref="F46:G46"/>
    <mergeCell ref="H46:I46"/>
    <mergeCell ref="J46:K46"/>
    <mergeCell ref="M46:N46"/>
    <mergeCell ref="D48:E48"/>
    <mergeCell ref="F48:G48"/>
    <mergeCell ref="H48:I48"/>
    <mergeCell ref="J48:K48"/>
    <mergeCell ref="M48:N48"/>
    <mergeCell ref="O48:P48"/>
    <mergeCell ref="O46:P46"/>
    <mergeCell ref="D47:E47"/>
    <mergeCell ref="F47:G47"/>
    <mergeCell ref="H47:I47"/>
    <mergeCell ref="J47:K47"/>
    <mergeCell ref="M47:N47"/>
    <mergeCell ref="O47:P47"/>
    <mergeCell ref="D51:E51"/>
    <mergeCell ref="F51:G51"/>
    <mergeCell ref="H51:I51"/>
    <mergeCell ref="J51:K51"/>
    <mergeCell ref="M51:N51"/>
    <mergeCell ref="O51:P51"/>
    <mergeCell ref="A49:P49"/>
    <mergeCell ref="D50:E50"/>
    <mergeCell ref="F50:G50"/>
    <mergeCell ref="H50:I50"/>
    <mergeCell ref="J50:K50"/>
    <mergeCell ref="M50:N50"/>
    <mergeCell ref="O50:P50"/>
    <mergeCell ref="D53:E53"/>
    <mergeCell ref="F53:G53"/>
    <mergeCell ref="H53:I53"/>
    <mergeCell ref="J53:K53"/>
    <mergeCell ref="M53:N53"/>
    <mergeCell ref="O53:P53"/>
    <mergeCell ref="D52:E52"/>
    <mergeCell ref="F52:G52"/>
    <mergeCell ref="H52:I52"/>
    <mergeCell ref="J52:K52"/>
    <mergeCell ref="M52:N52"/>
    <mergeCell ref="O52:P52"/>
    <mergeCell ref="A59:D59"/>
    <mergeCell ref="E59:P59"/>
    <mergeCell ref="A60:D60"/>
    <mergeCell ref="E60:P60"/>
    <mergeCell ref="A61:D61"/>
    <mergeCell ref="E61:P61"/>
    <mergeCell ref="A55:P55"/>
    <mergeCell ref="A56:D56"/>
    <mergeCell ref="E56:P56"/>
    <mergeCell ref="A57:D57"/>
    <mergeCell ref="E57:P57"/>
    <mergeCell ref="A58:D58"/>
    <mergeCell ref="E58:P58"/>
    <mergeCell ref="A62:D62"/>
    <mergeCell ref="E62:P62"/>
    <mergeCell ref="A63:D63"/>
    <mergeCell ref="E63:P63"/>
    <mergeCell ref="A65:P65"/>
    <mergeCell ref="A66:B66"/>
    <mergeCell ref="C66:D66"/>
    <mergeCell ref="E66:F66"/>
    <mergeCell ref="G66:H66"/>
    <mergeCell ref="I66:J66"/>
    <mergeCell ref="K66:L66"/>
    <mergeCell ref="M66:N66"/>
    <mergeCell ref="O66:P66"/>
    <mergeCell ref="A67:B67"/>
    <mergeCell ref="C67:D67"/>
    <mergeCell ref="E67:F67"/>
    <mergeCell ref="G67:H67"/>
    <mergeCell ref="I67:J67"/>
    <mergeCell ref="K67:L67"/>
    <mergeCell ref="M67:N67"/>
    <mergeCell ref="O67:P67"/>
    <mergeCell ref="A68:B68"/>
    <mergeCell ref="C68:D68"/>
    <mergeCell ref="E68:F68"/>
    <mergeCell ref="G68:H68"/>
    <mergeCell ref="I68:J68"/>
    <mergeCell ref="K68:L68"/>
    <mergeCell ref="M68:N68"/>
    <mergeCell ref="O68:P68"/>
    <mergeCell ref="M69:N69"/>
    <mergeCell ref="O69:P69"/>
    <mergeCell ref="A71:P71"/>
    <mergeCell ref="A72:D72"/>
    <mergeCell ref="E72:H72"/>
    <mergeCell ref="I72:L72"/>
    <mergeCell ref="M72:P72"/>
    <mergeCell ref="A69:B69"/>
    <mergeCell ref="C69:D69"/>
    <mergeCell ref="E69:F69"/>
    <mergeCell ref="G69:H69"/>
    <mergeCell ref="I69:J69"/>
    <mergeCell ref="K69:L69"/>
    <mergeCell ref="A75:D75"/>
    <mergeCell ref="E75:H75"/>
    <mergeCell ref="I75:L75"/>
    <mergeCell ref="M75:P75"/>
    <mergeCell ref="A76:D76"/>
    <mergeCell ref="E76:H76"/>
    <mergeCell ref="I76:L76"/>
    <mergeCell ref="M76:P76"/>
    <mergeCell ref="A73:D73"/>
    <mergeCell ref="E73:H73"/>
    <mergeCell ref="I73:L73"/>
    <mergeCell ref="M73:P73"/>
    <mergeCell ref="A74:D74"/>
    <mergeCell ref="E74:H74"/>
    <mergeCell ref="I74:L74"/>
    <mergeCell ref="M74:P74"/>
    <mergeCell ref="A80:F80"/>
    <mergeCell ref="L80:N80"/>
    <mergeCell ref="O80:P80"/>
    <mergeCell ref="A81:F81"/>
    <mergeCell ref="L81:N81"/>
    <mergeCell ref="O81:P81"/>
    <mergeCell ref="A77:C77"/>
    <mergeCell ref="D77:E77"/>
    <mergeCell ref="F77:G77"/>
    <mergeCell ref="H77:J77"/>
    <mergeCell ref="A78:P78"/>
    <mergeCell ref="A79:P79"/>
    <mergeCell ref="A82:P82"/>
    <mergeCell ref="B83:C83"/>
    <mergeCell ref="E83:F83"/>
    <mergeCell ref="L83:N83"/>
    <mergeCell ref="O83:P83"/>
    <mergeCell ref="B84:C84"/>
    <mergeCell ref="E84:F84"/>
    <mergeCell ref="L84:N84"/>
    <mergeCell ref="O84:P84"/>
    <mergeCell ref="B87:C87"/>
    <mergeCell ref="E87:F87"/>
    <mergeCell ref="L87:N87"/>
    <mergeCell ref="O87:P87"/>
    <mergeCell ref="B88:C88"/>
    <mergeCell ref="E88:F88"/>
    <mergeCell ref="L88:N88"/>
    <mergeCell ref="O88:P88"/>
    <mergeCell ref="B85:C85"/>
    <mergeCell ref="E85:F85"/>
    <mergeCell ref="L85:N85"/>
    <mergeCell ref="O85:P85"/>
    <mergeCell ref="B86:C86"/>
    <mergeCell ref="E86:F86"/>
    <mergeCell ref="L86:N86"/>
    <mergeCell ref="O86:P86"/>
    <mergeCell ref="B92:C92"/>
    <mergeCell ref="E92:F92"/>
    <mergeCell ref="L92:N92"/>
    <mergeCell ref="O92:P92"/>
    <mergeCell ref="B93:C93"/>
    <mergeCell ref="E93:F93"/>
    <mergeCell ref="L93:N93"/>
    <mergeCell ref="O93:P93"/>
    <mergeCell ref="A89:F89"/>
    <mergeCell ref="L89:N89"/>
    <mergeCell ref="O89:P89"/>
    <mergeCell ref="A90:P90"/>
    <mergeCell ref="B91:C91"/>
    <mergeCell ref="E91:F91"/>
    <mergeCell ref="L91:N91"/>
    <mergeCell ref="O91:P91"/>
    <mergeCell ref="B96:C96"/>
    <mergeCell ref="E96:F96"/>
    <mergeCell ref="L96:N96"/>
    <mergeCell ref="O96:P96"/>
    <mergeCell ref="A97:F97"/>
    <mergeCell ref="L97:N97"/>
    <mergeCell ref="O97:P97"/>
    <mergeCell ref="B94:C94"/>
    <mergeCell ref="E94:F94"/>
    <mergeCell ref="L94:N94"/>
    <mergeCell ref="O94:P94"/>
    <mergeCell ref="B95:C95"/>
    <mergeCell ref="E95:F95"/>
    <mergeCell ref="L95:N95"/>
    <mergeCell ref="O95:P95"/>
    <mergeCell ref="A98:P98"/>
    <mergeCell ref="B99:C99"/>
    <mergeCell ref="E99:F99"/>
    <mergeCell ref="L99:N99"/>
    <mergeCell ref="O99:P99"/>
    <mergeCell ref="B100:C100"/>
    <mergeCell ref="E100:F100"/>
    <mergeCell ref="L100:N100"/>
    <mergeCell ref="O100:P100"/>
    <mergeCell ref="B103:C103"/>
    <mergeCell ref="E103:F103"/>
    <mergeCell ref="L103:N103"/>
    <mergeCell ref="O103:P103"/>
    <mergeCell ref="B104:C104"/>
    <mergeCell ref="E104:F104"/>
    <mergeCell ref="L104:N104"/>
    <mergeCell ref="O104:P104"/>
    <mergeCell ref="B101:C101"/>
    <mergeCell ref="E101:F101"/>
    <mergeCell ref="L101:N101"/>
    <mergeCell ref="O101:P101"/>
    <mergeCell ref="B102:C102"/>
    <mergeCell ref="E102:F102"/>
    <mergeCell ref="L102:N102"/>
    <mergeCell ref="O102:P102"/>
    <mergeCell ref="B108:C108"/>
    <mergeCell ref="E108:F108"/>
    <mergeCell ref="L108:N108"/>
    <mergeCell ref="O108:P108"/>
    <mergeCell ref="B109:C109"/>
    <mergeCell ref="E109:F109"/>
    <mergeCell ref="L109:N109"/>
    <mergeCell ref="O109:P109"/>
    <mergeCell ref="A105:F105"/>
    <mergeCell ref="L105:N105"/>
    <mergeCell ref="O105:P105"/>
    <mergeCell ref="A106:P106"/>
    <mergeCell ref="B107:C107"/>
    <mergeCell ref="E107:F107"/>
    <mergeCell ref="L107:N107"/>
    <mergeCell ref="O107:P107"/>
    <mergeCell ref="B112:C112"/>
    <mergeCell ref="E112:F112"/>
    <mergeCell ref="L112:N112"/>
    <mergeCell ref="O112:P112"/>
    <mergeCell ref="A113:F113"/>
    <mergeCell ref="L113:N113"/>
    <mergeCell ref="O113:P113"/>
    <mergeCell ref="B110:C110"/>
    <mergeCell ref="E110:F110"/>
    <mergeCell ref="L110:N110"/>
    <mergeCell ref="O110:P110"/>
    <mergeCell ref="B111:C111"/>
    <mergeCell ref="E111:F111"/>
    <mergeCell ref="L111:N111"/>
    <mergeCell ref="O111:P111"/>
    <mergeCell ref="A114:P114"/>
    <mergeCell ref="B115:C115"/>
    <mergeCell ref="E115:F115"/>
    <mergeCell ref="L115:N115"/>
    <mergeCell ref="O115:P115"/>
    <mergeCell ref="B116:C116"/>
    <mergeCell ref="E116:F116"/>
    <mergeCell ref="L116:N116"/>
    <mergeCell ref="O116:P116"/>
    <mergeCell ref="B119:C119"/>
    <mergeCell ref="E119:F119"/>
    <mergeCell ref="L119:N119"/>
    <mergeCell ref="O119:P119"/>
    <mergeCell ref="B120:C120"/>
    <mergeCell ref="E120:F120"/>
    <mergeCell ref="L120:N120"/>
    <mergeCell ref="O120:P120"/>
    <mergeCell ref="B117:C117"/>
    <mergeCell ref="E117:F117"/>
    <mergeCell ref="L117:N117"/>
    <mergeCell ref="O117:P117"/>
    <mergeCell ref="B118:C118"/>
    <mergeCell ref="E118:F118"/>
    <mergeCell ref="L118:N118"/>
    <mergeCell ref="O118:P118"/>
    <mergeCell ref="B124:C124"/>
    <mergeCell ref="E124:F124"/>
    <mergeCell ref="L124:N124"/>
    <mergeCell ref="O124:P124"/>
    <mergeCell ref="B125:C125"/>
    <mergeCell ref="E125:F125"/>
    <mergeCell ref="L125:N125"/>
    <mergeCell ref="O125:P125"/>
    <mergeCell ref="A121:F121"/>
    <mergeCell ref="L121:N121"/>
    <mergeCell ref="O121:P121"/>
    <mergeCell ref="A122:P122"/>
    <mergeCell ref="B123:C123"/>
    <mergeCell ref="E123:F123"/>
    <mergeCell ref="L123:N123"/>
    <mergeCell ref="O123:P123"/>
    <mergeCell ref="B128:C128"/>
    <mergeCell ref="E128:F128"/>
    <mergeCell ref="L128:N128"/>
    <mergeCell ref="O128:P128"/>
    <mergeCell ref="A129:F129"/>
    <mergeCell ref="L129:N129"/>
    <mergeCell ref="O129:P129"/>
    <mergeCell ref="B126:C126"/>
    <mergeCell ref="E126:F126"/>
    <mergeCell ref="L126:N126"/>
    <mergeCell ref="O126:P126"/>
    <mergeCell ref="B127:C127"/>
    <mergeCell ref="E127:F127"/>
    <mergeCell ref="L127:N127"/>
    <mergeCell ref="O127:P127"/>
    <mergeCell ref="B133:C133"/>
    <mergeCell ref="E133:F133"/>
    <mergeCell ref="L133:N133"/>
    <mergeCell ref="O133:P133"/>
    <mergeCell ref="B134:C134"/>
    <mergeCell ref="E134:F134"/>
    <mergeCell ref="L134:N134"/>
    <mergeCell ref="O134:P134"/>
    <mergeCell ref="A130:P130"/>
    <mergeCell ref="B131:C131"/>
    <mergeCell ref="E131:F131"/>
    <mergeCell ref="L131:N131"/>
    <mergeCell ref="O131:P131"/>
    <mergeCell ref="B132:C132"/>
    <mergeCell ref="E132:F132"/>
    <mergeCell ref="L132:N132"/>
    <mergeCell ref="O132:P132"/>
    <mergeCell ref="A137:F137"/>
    <mergeCell ref="L137:N137"/>
    <mergeCell ref="O137:P137"/>
    <mergeCell ref="A138:P138"/>
    <mergeCell ref="B139:C139"/>
    <mergeCell ref="E139:F139"/>
    <mergeCell ref="L139:N139"/>
    <mergeCell ref="O139:P139"/>
    <mergeCell ref="B135:C135"/>
    <mergeCell ref="E135:F135"/>
    <mergeCell ref="L135:N135"/>
    <mergeCell ref="O135:P135"/>
    <mergeCell ref="B136:C136"/>
    <mergeCell ref="E136:F136"/>
    <mergeCell ref="L136:N136"/>
    <mergeCell ref="O136:P136"/>
    <mergeCell ref="B142:C142"/>
    <mergeCell ref="E142:F142"/>
    <mergeCell ref="L142:N142"/>
    <mergeCell ref="O142:P142"/>
    <mergeCell ref="B143:C143"/>
    <mergeCell ref="E143:F143"/>
    <mergeCell ref="L143:N143"/>
    <mergeCell ref="O143:P143"/>
    <mergeCell ref="B140:C140"/>
    <mergeCell ref="E140:F140"/>
    <mergeCell ref="L140:N140"/>
    <mergeCell ref="O140:P140"/>
    <mergeCell ref="B141:C141"/>
    <mergeCell ref="E141:F141"/>
    <mergeCell ref="L141:N141"/>
    <mergeCell ref="O141:P141"/>
    <mergeCell ref="A146:P146"/>
    <mergeCell ref="A147:F147"/>
    <mergeCell ref="L147:N147"/>
    <mergeCell ref="O147:P147"/>
    <mergeCell ref="A148:F148"/>
    <mergeCell ref="L148:N148"/>
    <mergeCell ref="O148:P148"/>
    <mergeCell ref="B144:C144"/>
    <mergeCell ref="E144:F144"/>
    <mergeCell ref="L144:N144"/>
    <mergeCell ref="O144:P144"/>
    <mergeCell ref="A145:F145"/>
    <mergeCell ref="L145:N145"/>
    <mergeCell ref="O145:P145"/>
    <mergeCell ref="A149:P149"/>
    <mergeCell ref="B150:C150"/>
    <mergeCell ref="E150:F150"/>
    <mergeCell ref="L150:N150"/>
    <mergeCell ref="O150:P150"/>
    <mergeCell ref="B151:C151"/>
    <mergeCell ref="E151:F151"/>
    <mergeCell ref="L151:N151"/>
    <mergeCell ref="O151:P151"/>
    <mergeCell ref="B154:C154"/>
    <mergeCell ref="E154:F154"/>
    <mergeCell ref="L154:N154"/>
    <mergeCell ref="O154:P154"/>
    <mergeCell ref="B155:C155"/>
    <mergeCell ref="E155:F155"/>
    <mergeCell ref="L155:N155"/>
    <mergeCell ref="O155:P155"/>
    <mergeCell ref="B152:C152"/>
    <mergeCell ref="E152:F152"/>
    <mergeCell ref="L152:N152"/>
    <mergeCell ref="O152:P152"/>
    <mergeCell ref="B153:C153"/>
    <mergeCell ref="E153:F153"/>
    <mergeCell ref="L153:N153"/>
    <mergeCell ref="O153:P153"/>
    <mergeCell ref="B159:C159"/>
    <mergeCell ref="E159:F159"/>
    <mergeCell ref="L159:N159"/>
    <mergeCell ref="O159:P159"/>
    <mergeCell ref="B160:C160"/>
    <mergeCell ref="E160:F160"/>
    <mergeCell ref="L160:N160"/>
    <mergeCell ref="O160:P160"/>
    <mergeCell ref="A156:F156"/>
    <mergeCell ref="L156:N156"/>
    <mergeCell ref="O156:P156"/>
    <mergeCell ref="A157:P157"/>
    <mergeCell ref="B158:C158"/>
    <mergeCell ref="E158:F158"/>
    <mergeCell ref="L158:N158"/>
    <mergeCell ref="O158:P158"/>
    <mergeCell ref="B163:C163"/>
    <mergeCell ref="E163:F163"/>
    <mergeCell ref="L163:N163"/>
    <mergeCell ref="O163:P163"/>
    <mergeCell ref="A164:F164"/>
    <mergeCell ref="L164:N164"/>
    <mergeCell ref="O164:P164"/>
    <mergeCell ref="B161:C161"/>
    <mergeCell ref="E161:F161"/>
    <mergeCell ref="L161:N161"/>
    <mergeCell ref="O161:P161"/>
    <mergeCell ref="B162:C162"/>
    <mergeCell ref="E162:F162"/>
    <mergeCell ref="L162:N162"/>
    <mergeCell ref="O162:P162"/>
    <mergeCell ref="A165:P165"/>
    <mergeCell ref="B166:C166"/>
    <mergeCell ref="E166:F166"/>
    <mergeCell ref="L166:N166"/>
    <mergeCell ref="O166:P166"/>
    <mergeCell ref="B167:C167"/>
    <mergeCell ref="E167:F167"/>
    <mergeCell ref="L167:N167"/>
    <mergeCell ref="O167:P167"/>
    <mergeCell ref="B170:C170"/>
    <mergeCell ref="E170:F170"/>
    <mergeCell ref="L170:N170"/>
    <mergeCell ref="O170:P170"/>
    <mergeCell ref="B171:C171"/>
    <mergeCell ref="E171:F171"/>
    <mergeCell ref="L171:N171"/>
    <mergeCell ref="O171:P171"/>
    <mergeCell ref="B168:C168"/>
    <mergeCell ref="E168:F168"/>
    <mergeCell ref="L168:N168"/>
    <mergeCell ref="O168:P168"/>
    <mergeCell ref="B169:C169"/>
    <mergeCell ref="E169:F169"/>
    <mergeCell ref="L169:N169"/>
    <mergeCell ref="O169:P169"/>
    <mergeCell ref="B175:C175"/>
    <mergeCell ref="E175:F175"/>
    <mergeCell ref="L175:N175"/>
    <mergeCell ref="O175:P175"/>
    <mergeCell ref="B176:C176"/>
    <mergeCell ref="E176:F176"/>
    <mergeCell ref="L176:N176"/>
    <mergeCell ref="O176:P176"/>
    <mergeCell ref="A172:F172"/>
    <mergeCell ref="L172:N172"/>
    <mergeCell ref="O172:P172"/>
    <mergeCell ref="A173:P173"/>
    <mergeCell ref="B174:C174"/>
    <mergeCell ref="E174:F174"/>
    <mergeCell ref="L174:N174"/>
    <mergeCell ref="O174:P174"/>
    <mergeCell ref="B179:C179"/>
    <mergeCell ref="E179:F179"/>
    <mergeCell ref="L179:N179"/>
    <mergeCell ref="O179:P179"/>
    <mergeCell ref="A180:F180"/>
    <mergeCell ref="L180:N180"/>
    <mergeCell ref="O180:P180"/>
    <mergeCell ref="B177:C177"/>
    <mergeCell ref="E177:F177"/>
    <mergeCell ref="L177:N177"/>
    <mergeCell ref="O177:P177"/>
    <mergeCell ref="B178:C178"/>
    <mergeCell ref="E178:F178"/>
    <mergeCell ref="L178:N178"/>
    <mergeCell ref="O178:P178"/>
    <mergeCell ref="B184:C184"/>
    <mergeCell ref="E184:F184"/>
    <mergeCell ref="L184:N184"/>
    <mergeCell ref="O184:P184"/>
    <mergeCell ref="B185:C185"/>
    <mergeCell ref="E185:F185"/>
    <mergeCell ref="L185:N185"/>
    <mergeCell ref="O185:P185"/>
    <mergeCell ref="A181:P181"/>
    <mergeCell ref="B182:C182"/>
    <mergeCell ref="E182:F182"/>
    <mergeCell ref="L182:N182"/>
    <mergeCell ref="O182:P182"/>
    <mergeCell ref="B183:C183"/>
    <mergeCell ref="E183:F183"/>
    <mergeCell ref="L183:N183"/>
    <mergeCell ref="O183:P183"/>
    <mergeCell ref="A188:F188"/>
    <mergeCell ref="L188:N188"/>
    <mergeCell ref="O188:P188"/>
    <mergeCell ref="A189:P189"/>
    <mergeCell ref="A190:F190"/>
    <mergeCell ref="L190:N190"/>
    <mergeCell ref="O190:P190"/>
    <mergeCell ref="B186:C186"/>
    <mergeCell ref="E186:F186"/>
    <mergeCell ref="L186:N186"/>
    <mergeCell ref="O186:P186"/>
    <mergeCell ref="B187:C187"/>
    <mergeCell ref="E187:F187"/>
    <mergeCell ref="L187:N187"/>
    <mergeCell ref="O187:P187"/>
    <mergeCell ref="B194:C194"/>
    <mergeCell ref="E194:F194"/>
    <mergeCell ref="L194:N194"/>
    <mergeCell ref="O194:P194"/>
    <mergeCell ref="B195:C195"/>
    <mergeCell ref="E195:F195"/>
    <mergeCell ref="L195:N195"/>
    <mergeCell ref="O195:P195"/>
    <mergeCell ref="A191:F191"/>
    <mergeCell ref="L191:N191"/>
    <mergeCell ref="O191:P191"/>
    <mergeCell ref="A192:P192"/>
    <mergeCell ref="B193:C193"/>
    <mergeCell ref="E193:F193"/>
    <mergeCell ref="L193:N193"/>
    <mergeCell ref="O193:P193"/>
    <mergeCell ref="B198:C198"/>
    <mergeCell ref="E198:F198"/>
    <mergeCell ref="L198:N198"/>
    <mergeCell ref="O198:P198"/>
    <mergeCell ref="A199:F199"/>
    <mergeCell ref="L199:N199"/>
    <mergeCell ref="O199:P199"/>
    <mergeCell ref="B196:C196"/>
    <mergeCell ref="E196:F196"/>
    <mergeCell ref="L196:N196"/>
    <mergeCell ref="O196:P196"/>
    <mergeCell ref="B197:C197"/>
    <mergeCell ref="E197:F197"/>
    <mergeCell ref="L197:N197"/>
    <mergeCell ref="O197:P197"/>
    <mergeCell ref="A200:P200"/>
    <mergeCell ref="B201:C201"/>
    <mergeCell ref="E201:F201"/>
    <mergeCell ref="L201:N201"/>
    <mergeCell ref="O201:P201"/>
    <mergeCell ref="B202:C202"/>
    <mergeCell ref="E202:F202"/>
    <mergeCell ref="L202:N202"/>
    <mergeCell ref="O202:P202"/>
    <mergeCell ref="B205:C205"/>
    <mergeCell ref="E205:F205"/>
    <mergeCell ref="L205:N205"/>
    <mergeCell ref="O205:P205"/>
    <mergeCell ref="B206:C206"/>
    <mergeCell ref="E206:F206"/>
    <mergeCell ref="L206:N206"/>
    <mergeCell ref="O206:P206"/>
    <mergeCell ref="B203:C203"/>
    <mergeCell ref="E203:F203"/>
    <mergeCell ref="L203:N203"/>
    <mergeCell ref="O203:P203"/>
    <mergeCell ref="B204:C204"/>
    <mergeCell ref="E204:F204"/>
    <mergeCell ref="L204:N204"/>
    <mergeCell ref="O204:P204"/>
    <mergeCell ref="B210:C210"/>
    <mergeCell ref="E210:F210"/>
    <mergeCell ref="L210:N210"/>
    <mergeCell ref="O210:P210"/>
    <mergeCell ref="B211:C211"/>
    <mergeCell ref="E211:F211"/>
    <mergeCell ref="L211:N211"/>
    <mergeCell ref="O211:P211"/>
    <mergeCell ref="A207:F207"/>
    <mergeCell ref="L207:N207"/>
    <mergeCell ref="O207:P207"/>
    <mergeCell ref="A208:P208"/>
    <mergeCell ref="B209:C209"/>
    <mergeCell ref="E209:F209"/>
    <mergeCell ref="L209:N209"/>
    <mergeCell ref="O209:P209"/>
    <mergeCell ref="B214:C214"/>
    <mergeCell ref="E214:F214"/>
    <mergeCell ref="L214:N214"/>
    <mergeCell ref="O214:P214"/>
    <mergeCell ref="A215:F215"/>
    <mergeCell ref="L215:N215"/>
    <mergeCell ref="O215:P215"/>
    <mergeCell ref="B212:C212"/>
    <mergeCell ref="E212:F212"/>
    <mergeCell ref="L212:N212"/>
    <mergeCell ref="O212:P212"/>
    <mergeCell ref="B213:C213"/>
    <mergeCell ref="E213:F213"/>
    <mergeCell ref="L213:N213"/>
    <mergeCell ref="O213:P213"/>
    <mergeCell ref="B219:C219"/>
    <mergeCell ref="E219:F219"/>
    <mergeCell ref="L219:N219"/>
    <mergeCell ref="O219:P219"/>
    <mergeCell ref="B220:C220"/>
    <mergeCell ref="E220:F220"/>
    <mergeCell ref="L220:N220"/>
    <mergeCell ref="O220:P220"/>
    <mergeCell ref="A216:P216"/>
    <mergeCell ref="B217:C217"/>
    <mergeCell ref="E217:F217"/>
    <mergeCell ref="L217:N217"/>
    <mergeCell ref="O217:P217"/>
    <mergeCell ref="B218:C218"/>
    <mergeCell ref="E218:F218"/>
    <mergeCell ref="L218:N218"/>
    <mergeCell ref="O218:P218"/>
    <mergeCell ref="A223:F223"/>
    <mergeCell ref="L223:N223"/>
    <mergeCell ref="O223:P223"/>
    <mergeCell ref="A224:P224"/>
    <mergeCell ref="A225:F225"/>
    <mergeCell ref="L225:N225"/>
    <mergeCell ref="O225:P225"/>
    <mergeCell ref="B221:C221"/>
    <mergeCell ref="E221:F221"/>
    <mergeCell ref="L221:N221"/>
    <mergeCell ref="O221:P221"/>
    <mergeCell ref="B222:C222"/>
    <mergeCell ref="E222:F222"/>
    <mergeCell ref="L222:N222"/>
    <mergeCell ref="O222:P222"/>
    <mergeCell ref="B229:C229"/>
    <mergeCell ref="E229:F229"/>
    <mergeCell ref="L229:N229"/>
    <mergeCell ref="O229:P229"/>
    <mergeCell ref="B230:C230"/>
    <mergeCell ref="E230:F230"/>
    <mergeCell ref="L230:N230"/>
    <mergeCell ref="O230:P230"/>
    <mergeCell ref="A226:F226"/>
    <mergeCell ref="L226:N226"/>
    <mergeCell ref="O226:P226"/>
    <mergeCell ref="A227:P227"/>
    <mergeCell ref="B228:C228"/>
    <mergeCell ref="E228:F228"/>
    <mergeCell ref="L228:N228"/>
    <mergeCell ref="O228:P228"/>
    <mergeCell ref="B233:C233"/>
    <mergeCell ref="E233:F233"/>
    <mergeCell ref="L233:N233"/>
    <mergeCell ref="O233:P233"/>
    <mergeCell ref="A234:F234"/>
    <mergeCell ref="L234:N234"/>
    <mergeCell ref="O234:P234"/>
    <mergeCell ref="B231:C231"/>
    <mergeCell ref="E231:F231"/>
    <mergeCell ref="L231:N231"/>
    <mergeCell ref="O231:P231"/>
    <mergeCell ref="B232:C232"/>
    <mergeCell ref="E232:F232"/>
    <mergeCell ref="L232:N232"/>
    <mergeCell ref="O232:P232"/>
    <mergeCell ref="A235:P235"/>
    <mergeCell ref="B236:C236"/>
    <mergeCell ref="E236:F236"/>
    <mergeCell ref="L236:N236"/>
    <mergeCell ref="O236:P236"/>
    <mergeCell ref="B237:C237"/>
    <mergeCell ref="E237:F237"/>
    <mergeCell ref="L237:N237"/>
    <mergeCell ref="O237:P237"/>
    <mergeCell ref="B240:C240"/>
    <mergeCell ref="E240:F240"/>
    <mergeCell ref="L240:N240"/>
    <mergeCell ref="O240:P240"/>
    <mergeCell ref="B241:C241"/>
    <mergeCell ref="E241:F241"/>
    <mergeCell ref="L241:N241"/>
    <mergeCell ref="O241:P241"/>
    <mergeCell ref="B238:C238"/>
    <mergeCell ref="E238:F238"/>
    <mergeCell ref="L238:N238"/>
    <mergeCell ref="O238:P238"/>
    <mergeCell ref="B239:C239"/>
    <mergeCell ref="E239:F239"/>
    <mergeCell ref="L239:N239"/>
    <mergeCell ref="O239:P239"/>
    <mergeCell ref="B246:C246"/>
    <mergeCell ref="D246:E246"/>
    <mergeCell ref="D247:E247"/>
    <mergeCell ref="F247:O247"/>
    <mergeCell ref="D248:E248"/>
    <mergeCell ref="F248:O248"/>
    <mergeCell ref="A242:F242"/>
    <mergeCell ref="L242:N242"/>
    <mergeCell ref="O242:P242"/>
    <mergeCell ref="A243:P243"/>
    <mergeCell ref="A244:P244"/>
    <mergeCell ref="F245:O245"/>
    <mergeCell ref="F246:O246"/>
    <mergeCell ref="D251:E251"/>
    <mergeCell ref="F251:O251"/>
    <mergeCell ref="B253:C253"/>
    <mergeCell ref="D253:F253"/>
    <mergeCell ref="G253:H253"/>
    <mergeCell ref="I253:O253"/>
    <mergeCell ref="D249:E249"/>
    <mergeCell ref="F249:O249"/>
    <mergeCell ref="D250:E250"/>
    <mergeCell ref="F250:O250"/>
    <mergeCell ref="B256:C256"/>
    <mergeCell ref="D256:F256"/>
    <mergeCell ref="G256:H256"/>
    <mergeCell ref="I256:O256"/>
    <mergeCell ref="B257:C257"/>
    <mergeCell ref="D257:F257"/>
    <mergeCell ref="G257:H257"/>
    <mergeCell ref="I257:O257"/>
    <mergeCell ref="B254:C254"/>
    <mergeCell ref="D254:F254"/>
    <mergeCell ref="G254:H254"/>
    <mergeCell ref="I254:O254"/>
    <mergeCell ref="B255:C255"/>
    <mergeCell ref="D255:F255"/>
    <mergeCell ref="G255:H255"/>
    <mergeCell ref="I255:O255"/>
    <mergeCell ref="B258:C258"/>
    <mergeCell ref="D258:F258"/>
    <mergeCell ref="G258:H258"/>
    <mergeCell ref="I258:O258"/>
    <mergeCell ref="A263:P263"/>
    <mergeCell ref="A265:C265"/>
    <mergeCell ref="D265:E265"/>
    <mergeCell ref="I265:L265"/>
    <mergeCell ref="M265:N265"/>
    <mergeCell ref="A270:P270"/>
    <mergeCell ref="A271:P272"/>
    <mergeCell ref="A273:P273"/>
    <mergeCell ref="A274:P274"/>
    <mergeCell ref="A275:P275"/>
    <mergeCell ref="A276:P276"/>
    <mergeCell ref="A267:D267"/>
    <mergeCell ref="E267:G267"/>
    <mergeCell ref="H267:J267"/>
    <mergeCell ref="K267:M267"/>
    <mergeCell ref="N267:P267"/>
    <mergeCell ref="A268:D268"/>
    <mergeCell ref="E268:G268"/>
    <mergeCell ref="H268:J268"/>
    <mergeCell ref="K268:M268"/>
    <mergeCell ref="N268:P268"/>
    <mergeCell ref="C285:G285"/>
    <mergeCell ref="K285:O285"/>
    <mergeCell ref="B288:G288"/>
    <mergeCell ref="J288:O288"/>
    <mergeCell ref="B291:C291"/>
    <mergeCell ref="J291:K291"/>
    <mergeCell ref="A277:P277"/>
    <mergeCell ref="A278:P278"/>
    <mergeCell ref="A279:P279"/>
    <mergeCell ref="B280:G280"/>
    <mergeCell ref="J280:O280"/>
    <mergeCell ref="B284:C284"/>
  </mergeCells>
  <dataValidations count="1">
    <dataValidation type="list" allowBlank="1" showInputMessage="1" showErrorMessage="1" sqref="E10:G10 N10:P10 E14:G14 K14:M14 E17:G17 K17:M17">
      <formula1>#REF!</formula1>
    </dataValidation>
  </dataValidations>
  <pageMargins left="0.70866141732283472" right="0.70866141732283472" top="0.74803149606299213" bottom="0.74803149606299213" header="0.31496062992125984" footer="0.31496062992125984"/>
  <pageSetup paperSize="9" scale="52" orientation="portrait" r:id="rId1"/>
  <rowBreaks count="4" manualBreakCount="4">
    <brk id="81" max="15" man="1"/>
    <brk id="145" max="15" man="1"/>
    <brk id="207" max="15" man="1"/>
    <brk id="269" max="15" man="1"/>
  </rowBreaks>
  <drawing r:id="rId2"/>
  <legacyDrawing r:id="rId3"/>
  <oleObjects>
    <mc:AlternateContent xmlns:mc="http://schemas.openxmlformats.org/markup-compatibility/2006">
      <mc:Choice Requires="x14">
        <oleObject progId="PBrush" shapeId="15361" r:id="rId4">
          <objectPr defaultSize="0" autoPict="0" r:id="rId5">
            <anchor moveWithCells="1" sizeWithCells="1">
              <from>
                <xdr:col>0</xdr:col>
                <xdr:colOff>200025</xdr:colOff>
                <xdr:row>0</xdr:row>
                <xdr:rowOff>66675</xdr:rowOff>
              </from>
              <to>
                <xdr:col>1</xdr:col>
                <xdr:colOff>495300</xdr:colOff>
                <xdr:row>5</xdr:row>
                <xdr:rowOff>95250</xdr:rowOff>
              </to>
            </anchor>
          </objectPr>
        </oleObject>
      </mc:Choice>
      <mc:Fallback>
        <oleObject progId="PBrush" shapeId="15361" r:id="rId4"/>
      </mc:Fallback>
    </mc:AlternateContent>
  </oleObjects>
  <extLst>
    <ext xmlns:x14="http://schemas.microsoft.com/office/spreadsheetml/2009/9/main" uri="{CCE6A557-97BC-4b89-ADB6-D9C93CAAB3DF}">
      <x14:dataValidations xmlns:xm="http://schemas.microsoft.com/office/excel/2006/main" count="4">
        <x14:dataValidation type="list" allowBlank="1" showInputMessage="1" showErrorMessage="1">
          <x14:formula1>
            <xm:f>Listas!$C$7:$C$9</xm:f>
          </x14:formula1>
          <xm:sqref>A74:D74</xm:sqref>
        </x14:dataValidation>
        <x14:dataValidation type="list" allowBlank="1" showInputMessage="1" showErrorMessage="1">
          <x14:formula1>
            <xm:f>Listas!$C$12:$C$16</xm:f>
          </x14:formula1>
          <xm:sqref>A76:D76</xm:sqref>
        </x14:dataValidation>
        <x14:dataValidation type="list" allowBlank="1" showInputMessage="1" showErrorMessage="1">
          <x14:formula1>
            <xm:f>Listas!$C$19:$C$21</xm:f>
          </x14:formula1>
          <xm:sqref>E74:H74</xm:sqref>
        </x14:dataValidation>
        <x14:dataValidation type="list" allowBlank="1" showInputMessage="1" showErrorMessage="1">
          <x14:formula1>
            <xm:f>Listas!$C$37:$C$39</xm:f>
          </x14:formula1>
          <xm:sqref>I76:L76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4"/>
  <sheetViews>
    <sheetView workbookViewId="0"/>
  </sheetViews>
  <sheetFormatPr baseColWidth="10" defaultColWidth="11" defaultRowHeight="15.75" x14ac:dyDescent="0.25"/>
  <cols>
    <col min="1" max="1" width="38.875" customWidth="1"/>
    <col min="2" max="2" width="9"/>
    <col min="3" max="3" width="43" customWidth="1"/>
  </cols>
  <sheetData>
    <row r="1" spans="1:6" x14ac:dyDescent="0.25">
      <c r="A1" s="13" t="s">
        <v>7</v>
      </c>
      <c r="C1" t="s">
        <v>77</v>
      </c>
    </row>
    <row r="2" spans="1:6" x14ac:dyDescent="0.25">
      <c r="A2" s="14" t="s">
        <v>176</v>
      </c>
      <c r="C2" t="s">
        <v>177</v>
      </c>
    </row>
    <row r="3" spans="1:6" x14ac:dyDescent="0.25">
      <c r="A3" s="14" t="s">
        <v>178</v>
      </c>
      <c r="C3" t="s">
        <v>179</v>
      </c>
    </row>
    <row r="4" spans="1:6" x14ac:dyDescent="0.25">
      <c r="A4" s="14" t="s">
        <v>180</v>
      </c>
      <c r="C4" t="s">
        <v>181</v>
      </c>
    </row>
    <row r="5" spans="1:6" x14ac:dyDescent="0.25">
      <c r="A5" s="14" t="s">
        <v>182</v>
      </c>
    </row>
    <row r="6" spans="1:6" ht="15.75" customHeight="1" x14ac:dyDescent="0.25">
      <c r="A6" s="14" t="s">
        <v>183</v>
      </c>
      <c r="C6" s="15" t="s">
        <v>89</v>
      </c>
      <c r="D6" s="15"/>
      <c r="E6" s="15"/>
      <c r="F6" s="15"/>
    </row>
    <row r="7" spans="1:6" x14ac:dyDescent="0.25">
      <c r="A7" s="14" t="s">
        <v>184</v>
      </c>
      <c r="C7" t="s">
        <v>185</v>
      </c>
    </row>
    <row r="8" spans="1:6" x14ac:dyDescent="0.25">
      <c r="A8" s="14" t="s">
        <v>186</v>
      </c>
      <c r="C8" t="s">
        <v>187</v>
      </c>
    </row>
    <row r="9" spans="1:6" x14ac:dyDescent="0.25">
      <c r="A9" s="14" t="s">
        <v>188</v>
      </c>
      <c r="C9" t="s">
        <v>189</v>
      </c>
    </row>
    <row r="10" spans="1:6" x14ac:dyDescent="0.25">
      <c r="A10" s="14" t="s">
        <v>190</v>
      </c>
    </row>
    <row r="11" spans="1:6" x14ac:dyDescent="0.25">
      <c r="A11" s="14" t="s">
        <v>191</v>
      </c>
      <c r="C11" s="16" t="s">
        <v>90</v>
      </c>
    </row>
    <row r="12" spans="1:6" x14ac:dyDescent="0.25">
      <c r="A12" s="14" t="s">
        <v>192</v>
      </c>
      <c r="C12" t="s">
        <v>193</v>
      </c>
    </row>
    <row r="13" spans="1:6" x14ac:dyDescent="0.25">
      <c r="A13" s="14" t="s">
        <v>194</v>
      </c>
      <c r="C13" t="s">
        <v>195</v>
      </c>
    </row>
    <row r="14" spans="1:6" x14ac:dyDescent="0.25">
      <c r="A14" s="14" t="s">
        <v>196</v>
      </c>
      <c r="C14" t="s">
        <v>197</v>
      </c>
    </row>
    <row r="15" spans="1:6" x14ac:dyDescent="0.25">
      <c r="A15" s="14" t="s">
        <v>198</v>
      </c>
      <c r="C15" t="s">
        <v>199</v>
      </c>
    </row>
    <row r="16" spans="1:6" x14ac:dyDescent="0.25">
      <c r="A16" s="14" t="s">
        <v>200</v>
      </c>
      <c r="C16" t="s">
        <v>201</v>
      </c>
    </row>
    <row r="17" spans="1:3" x14ac:dyDescent="0.25">
      <c r="A17" s="14" t="s">
        <v>202</v>
      </c>
    </row>
    <row r="18" spans="1:3" x14ac:dyDescent="0.25">
      <c r="A18" s="14" t="s">
        <v>203</v>
      </c>
      <c r="C18" s="15" t="s">
        <v>89</v>
      </c>
    </row>
    <row r="19" spans="1:3" x14ac:dyDescent="0.25">
      <c r="A19" s="14" t="s">
        <v>204</v>
      </c>
      <c r="C19" t="s">
        <v>205</v>
      </c>
    </row>
    <row r="20" spans="1:3" x14ac:dyDescent="0.25">
      <c r="A20" s="14" t="s">
        <v>206</v>
      </c>
      <c r="C20" t="s">
        <v>207</v>
      </c>
    </row>
    <row r="21" spans="1:3" x14ac:dyDescent="0.25">
      <c r="A21" s="14" t="s">
        <v>208</v>
      </c>
      <c r="C21" t="s">
        <v>209</v>
      </c>
    </row>
    <row r="22" spans="1:3" x14ac:dyDescent="0.25">
      <c r="A22" s="14" t="s">
        <v>210</v>
      </c>
    </row>
    <row r="23" spans="1:3" x14ac:dyDescent="0.25">
      <c r="A23" s="14" t="s">
        <v>211</v>
      </c>
      <c r="C23" s="16" t="s">
        <v>90</v>
      </c>
    </row>
    <row r="24" spans="1:3" x14ac:dyDescent="0.25">
      <c r="A24" s="14" t="s">
        <v>212</v>
      </c>
    </row>
    <row r="25" spans="1:3" x14ac:dyDescent="0.25">
      <c r="A25" s="14" t="s">
        <v>213</v>
      </c>
    </row>
    <row r="26" spans="1:3" x14ac:dyDescent="0.25">
      <c r="A26" s="14" t="s">
        <v>214</v>
      </c>
    </row>
    <row r="27" spans="1:3" x14ac:dyDescent="0.25">
      <c r="A27" s="14" t="s">
        <v>215</v>
      </c>
    </row>
    <row r="28" spans="1:3" x14ac:dyDescent="0.25">
      <c r="A28" s="17"/>
    </row>
    <row r="29" spans="1:3" x14ac:dyDescent="0.25">
      <c r="A29" s="18" t="s">
        <v>6</v>
      </c>
    </row>
    <row r="30" spans="1:3" x14ac:dyDescent="0.25">
      <c r="A30" s="19" t="s">
        <v>216</v>
      </c>
      <c r="C30" s="15" t="s">
        <v>89</v>
      </c>
    </row>
    <row r="31" spans="1:3" x14ac:dyDescent="0.25">
      <c r="A31" s="19" t="s">
        <v>217</v>
      </c>
    </row>
    <row r="32" spans="1:3" x14ac:dyDescent="0.25">
      <c r="A32" s="19" t="s">
        <v>218</v>
      </c>
    </row>
    <row r="33" spans="1:3" x14ac:dyDescent="0.25">
      <c r="A33" s="19" t="s">
        <v>219</v>
      </c>
    </row>
    <row r="34" spans="1:3" x14ac:dyDescent="0.25">
      <c r="A34" s="19" t="s">
        <v>220</v>
      </c>
    </row>
    <row r="35" spans="1:3" x14ac:dyDescent="0.25">
      <c r="A35" s="19" t="s">
        <v>221</v>
      </c>
    </row>
    <row r="36" spans="1:3" x14ac:dyDescent="0.25">
      <c r="A36" s="19" t="s">
        <v>222</v>
      </c>
      <c r="C36" s="16" t="s">
        <v>90</v>
      </c>
    </row>
    <row r="37" spans="1:3" x14ac:dyDescent="0.25">
      <c r="A37" s="19" t="s">
        <v>223</v>
      </c>
      <c r="C37" t="s">
        <v>224</v>
      </c>
    </row>
    <row r="38" spans="1:3" x14ac:dyDescent="0.25">
      <c r="A38" s="19" t="s">
        <v>225</v>
      </c>
      <c r="C38" t="s">
        <v>226</v>
      </c>
    </row>
    <row r="39" spans="1:3" x14ac:dyDescent="0.25">
      <c r="A39" s="19" t="s">
        <v>227</v>
      </c>
      <c r="C39" t="s">
        <v>199</v>
      </c>
    </row>
    <row r="40" spans="1:3" x14ac:dyDescent="0.25">
      <c r="A40" s="19" t="s">
        <v>228</v>
      </c>
    </row>
    <row r="42" spans="1:3" x14ac:dyDescent="0.25">
      <c r="A42" s="13" t="s">
        <v>229</v>
      </c>
    </row>
    <row r="43" spans="1:3" x14ac:dyDescent="0.25">
      <c r="A43" s="20" t="s">
        <v>230</v>
      </c>
    </row>
    <row r="44" spans="1:3" x14ac:dyDescent="0.25">
      <c r="A44" s="20" t="s">
        <v>231</v>
      </c>
    </row>
    <row r="46" spans="1:3" x14ac:dyDescent="0.25">
      <c r="A46" s="13" t="s">
        <v>232</v>
      </c>
    </row>
    <row r="47" spans="1:3" x14ac:dyDescent="0.25">
      <c r="A47" s="17">
        <v>1</v>
      </c>
    </row>
    <row r="48" spans="1:3" x14ac:dyDescent="0.25">
      <c r="A48" s="17">
        <v>2</v>
      </c>
    </row>
    <row r="49" spans="1:1" x14ac:dyDescent="0.25">
      <c r="A49" s="17">
        <v>3</v>
      </c>
    </row>
    <row r="50" spans="1:1" x14ac:dyDescent="0.25">
      <c r="A50" s="17">
        <v>4</v>
      </c>
    </row>
    <row r="51" spans="1:1" x14ac:dyDescent="0.25">
      <c r="A51" s="17">
        <v>5</v>
      </c>
    </row>
    <row r="52" spans="1:1" x14ac:dyDescent="0.25">
      <c r="A52" s="17">
        <v>6</v>
      </c>
    </row>
    <row r="53" spans="1:1" x14ac:dyDescent="0.25">
      <c r="A53" s="17">
        <v>7</v>
      </c>
    </row>
    <row r="54" spans="1:1" x14ac:dyDescent="0.25">
      <c r="A54" s="17">
        <v>8</v>
      </c>
    </row>
    <row r="55" spans="1:1" x14ac:dyDescent="0.25">
      <c r="A55" s="17">
        <v>9</v>
      </c>
    </row>
    <row r="56" spans="1:1" x14ac:dyDescent="0.25">
      <c r="A56" s="17">
        <v>10</v>
      </c>
    </row>
    <row r="57" spans="1:1" x14ac:dyDescent="0.25">
      <c r="A57" s="17">
        <v>11</v>
      </c>
    </row>
    <row r="58" spans="1:1" x14ac:dyDescent="0.25">
      <c r="A58" s="17">
        <v>12</v>
      </c>
    </row>
    <row r="59" spans="1:1" x14ac:dyDescent="0.25">
      <c r="A59" s="17">
        <v>13</v>
      </c>
    </row>
    <row r="60" spans="1:1" x14ac:dyDescent="0.25">
      <c r="A60" s="17">
        <v>14</v>
      </c>
    </row>
    <row r="61" spans="1:1" x14ac:dyDescent="0.25">
      <c r="A61" s="17">
        <v>15</v>
      </c>
    </row>
    <row r="62" spans="1:1" x14ac:dyDescent="0.25">
      <c r="A62" s="17">
        <v>16</v>
      </c>
    </row>
    <row r="63" spans="1:1" x14ac:dyDescent="0.25">
      <c r="A63" s="17">
        <v>17</v>
      </c>
    </row>
    <row r="64" spans="1:1" x14ac:dyDescent="0.25">
      <c r="A64" s="17">
        <v>18</v>
      </c>
    </row>
    <row r="65" spans="1:1" x14ac:dyDescent="0.25">
      <c r="A65" s="17">
        <v>19</v>
      </c>
    </row>
    <row r="66" spans="1:1" x14ac:dyDescent="0.25">
      <c r="A66" s="17">
        <v>20</v>
      </c>
    </row>
    <row r="67" spans="1:1" x14ac:dyDescent="0.25">
      <c r="A67" s="17">
        <v>21</v>
      </c>
    </row>
    <row r="68" spans="1:1" x14ac:dyDescent="0.25">
      <c r="A68" s="17">
        <v>22</v>
      </c>
    </row>
    <row r="69" spans="1:1" x14ac:dyDescent="0.25">
      <c r="A69" s="17">
        <v>23</v>
      </c>
    </row>
    <row r="70" spans="1:1" x14ac:dyDescent="0.25">
      <c r="A70" s="17">
        <v>24</v>
      </c>
    </row>
    <row r="71" spans="1:1" x14ac:dyDescent="0.25">
      <c r="A71" s="17">
        <v>25</v>
      </c>
    </row>
    <row r="72" spans="1:1" x14ac:dyDescent="0.25">
      <c r="A72" s="17">
        <v>26</v>
      </c>
    </row>
    <row r="73" spans="1:1" x14ac:dyDescent="0.25">
      <c r="A73" s="17">
        <v>27</v>
      </c>
    </row>
    <row r="74" spans="1:1" x14ac:dyDescent="0.25">
      <c r="A74" s="17">
        <v>28</v>
      </c>
    </row>
    <row r="75" spans="1:1" x14ac:dyDescent="0.25">
      <c r="A75" s="17">
        <v>29</v>
      </c>
    </row>
    <row r="76" spans="1:1" x14ac:dyDescent="0.25">
      <c r="A76" s="17">
        <v>30</v>
      </c>
    </row>
    <row r="77" spans="1:1" x14ac:dyDescent="0.25">
      <c r="A77" s="17">
        <v>31</v>
      </c>
    </row>
    <row r="78" spans="1:1" x14ac:dyDescent="0.25">
      <c r="A78" s="17"/>
    </row>
    <row r="79" spans="1:1" x14ac:dyDescent="0.25">
      <c r="A79" s="13" t="s">
        <v>233</v>
      </c>
    </row>
    <row r="80" spans="1:1" x14ac:dyDescent="0.25">
      <c r="A80" s="17" t="s">
        <v>234</v>
      </c>
    </row>
    <row r="81" spans="1:1" x14ac:dyDescent="0.25">
      <c r="A81" s="17" t="s">
        <v>235</v>
      </c>
    </row>
    <row r="82" spans="1:1" x14ac:dyDescent="0.25">
      <c r="A82" s="17" t="s">
        <v>236</v>
      </c>
    </row>
    <row r="83" spans="1:1" x14ac:dyDescent="0.25">
      <c r="A83" s="17" t="s">
        <v>237</v>
      </c>
    </row>
    <row r="84" spans="1:1" x14ac:dyDescent="0.25">
      <c r="A84" s="17" t="s">
        <v>238</v>
      </c>
    </row>
    <row r="85" spans="1:1" x14ac:dyDescent="0.25">
      <c r="A85" s="17" t="s">
        <v>239</v>
      </c>
    </row>
    <row r="86" spans="1:1" x14ac:dyDescent="0.25">
      <c r="A86" s="17" t="s">
        <v>240</v>
      </c>
    </row>
    <row r="87" spans="1:1" x14ac:dyDescent="0.25">
      <c r="A87" s="17" t="s">
        <v>241</v>
      </c>
    </row>
    <row r="88" spans="1:1" x14ac:dyDescent="0.25">
      <c r="A88" s="17" t="s">
        <v>242</v>
      </c>
    </row>
    <row r="89" spans="1:1" x14ac:dyDescent="0.25">
      <c r="A89" s="17" t="s">
        <v>243</v>
      </c>
    </row>
    <row r="90" spans="1:1" x14ac:dyDescent="0.25">
      <c r="A90" s="17" t="s">
        <v>244</v>
      </c>
    </row>
    <row r="91" spans="1:1" x14ac:dyDescent="0.25">
      <c r="A91" s="17" t="s">
        <v>245</v>
      </c>
    </row>
    <row r="92" spans="1:1" x14ac:dyDescent="0.25">
      <c r="A92" s="17"/>
    </row>
    <row r="93" spans="1:1" x14ac:dyDescent="0.25">
      <c r="A93" s="13" t="s">
        <v>246</v>
      </c>
    </row>
    <row r="94" spans="1:1" x14ac:dyDescent="0.25">
      <c r="A94" s="17">
        <v>1993</v>
      </c>
    </row>
    <row r="95" spans="1:1" x14ac:dyDescent="0.25">
      <c r="A95" s="17">
        <v>1994</v>
      </c>
    </row>
    <row r="96" spans="1:1" x14ac:dyDescent="0.25">
      <c r="A96" s="17">
        <v>1995</v>
      </c>
    </row>
    <row r="97" spans="1:1" x14ac:dyDescent="0.25">
      <c r="A97" s="17">
        <v>1996</v>
      </c>
    </row>
    <row r="98" spans="1:1" x14ac:dyDescent="0.25">
      <c r="A98" s="17">
        <v>1997</v>
      </c>
    </row>
    <row r="99" spans="1:1" x14ac:dyDescent="0.25">
      <c r="A99" s="17">
        <v>1998</v>
      </c>
    </row>
    <row r="100" spans="1:1" x14ac:dyDescent="0.25">
      <c r="A100" s="17">
        <v>1999</v>
      </c>
    </row>
    <row r="101" spans="1:1" x14ac:dyDescent="0.25">
      <c r="A101" s="17">
        <v>2000</v>
      </c>
    </row>
    <row r="102" spans="1:1" x14ac:dyDescent="0.25">
      <c r="A102" s="17">
        <v>2001</v>
      </c>
    </row>
    <row r="103" spans="1:1" x14ac:dyDescent="0.25">
      <c r="A103" s="17">
        <v>2002</v>
      </c>
    </row>
    <row r="104" spans="1:1" x14ac:dyDescent="0.25">
      <c r="A104" s="17">
        <v>2003</v>
      </c>
    </row>
    <row r="105" spans="1:1" x14ac:dyDescent="0.25">
      <c r="A105" s="17">
        <v>2004</v>
      </c>
    </row>
    <row r="106" spans="1:1" x14ac:dyDescent="0.25">
      <c r="A106" s="17">
        <v>2005</v>
      </c>
    </row>
    <row r="107" spans="1:1" x14ac:dyDescent="0.25">
      <c r="A107" s="17">
        <v>2006</v>
      </c>
    </row>
    <row r="108" spans="1:1" x14ac:dyDescent="0.25">
      <c r="A108" s="17">
        <v>2007</v>
      </c>
    </row>
    <row r="109" spans="1:1" x14ac:dyDescent="0.25">
      <c r="A109" s="17">
        <v>2008</v>
      </c>
    </row>
    <row r="110" spans="1:1" x14ac:dyDescent="0.25">
      <c r="A110" s="17">
        <v>2009</v>
      </c>
    </row>
    <row r="111" spans="1:1" x14ac:dyDescent="0.25">
      <c r="A111" s="17">
        <v>2010</v>
      </c>
    </row>
    <row r="112" spans="1:1" x14ac:dyDescent="0.25">
      <c r="A112" s="17">
        <v>2011</v>
      </c>
    </row>
    <row r="113" spans="1:1" x14ac:dyDescent="0.25">
      <c r="A113" s="17">
        <v>2012</v>
      </c>
    </row>
    <row r="114" spans="1:1" x14ac:dyDescent="0.25">
      <c r="A114" s="17">
        <v>2013</v>
      </c>
    </row>
    <row r="115" spans="1:1" x14ac:dyDescent="0.25">
      <c r="A115" s="17">
        <v>2014</v>
      </c>
    </row>
    <row r="116" spans="1:1" x14ac:dyDescent="0.25">
      <c r="A116" s="17">
        <v>2015</v>
      </c>
    </row>
    <row r="117" spans="1:1" x14ac:dyDescent="0.25">
      <c r="A117" s="17">
        <v>2016</v>
      </c>
    </row>
    <row r="118" spans="1:1" x14ac:dyDescent="0.25">
      <c r="A118" s="17">
        <v>2017</v>
      </c>
    </row>
    <row r="119" spans="1:1" x14ac:dyDescent="0.25">
      <c r="A119" s="17">
        <v>2018</v>
      </c>
    </row>
    <row r="120" spans="1:1" x14ac:dyDescent="0.25">
      <c r="A120" s="17">
        <v>2019</v>
      </c>
    </row>
    <row r="121" spans="1:1" x14ac:dyDescent="0.25">
      <c r="A121" s="17">
        <v>2020</v>
      </c>
    </row>
    <row r="122" spans="1:1" x14ac:dyDescent="0.25">
      <c r="A122" s="17">
        <v>2021</v>
      </c>
    </row>
    <row r="123" spans="1:1" x14ac:dyDescent="0.25">
      <c r="A123" s="17">
        <v>2022</v>
      </c>
    </row>
    <row r="124" spans="1:1" x14ac:dyDescent="0.25">
      <c r="A124" s="17">
        <v>2023</v>
      </c>
    </row>
    <row r="125" spans="1:1" x14ac:dyDescent="0.25">
      <c r="A125" s="17">
        <v>2024</v>
      </c>
    </row>
    <row r="126" spans="1:1" x14ac:dyDescent="0.25">
      <c r="A126" s="17">
        <v>2025</v>
      </c>
    </row>
    <row r="127" spans="1:1" x14ac:dyDescent="0.25">
      <c r="A127" s="17">
        <v>2026</v>
      </c>
    </row>
    <row r="128" spans="1:1" x14ac:dyDescent="0.25">
      <c r="A128" s="17">
        <v>2027</v>
      </c>
    </row>
    <row r="129" spans="1:1" x14ac:dyDescent="0.25">
      <c r="A129" s="17">
        <v>2028</v>
      </c>
    </row>
    <row r="130" spans="1:1" x14ac:dyDescent="0.25">
      <c r="A130" s="17">
        <v>2029</v>
      </c>
    </row>
    <row r="131" spans="1:1" x14ac:dyDescent="0.25">
      <c r="A131" s="17">
        <v>2030</v>
      </c>
    </row>
    <row r="132" spans="1:1" x14ac:dyDescent="0.25">
      <c r="A132" s="17">
        <v>2031</v>
      </c>
    </row>
    <row r="133" spans="1:1" x14ac:dyDescent="0.25">
      <c r="A133" s="17">
        <v>2032</v>
      </c>
    </row>
    <row r="134" spans="1:1" x14ac:dyDescent="0.25">
      <c r="A134" s="17">
        <v>2033</v>
      </c>
    </row>
    <row r="135" spans="1:1" x14ac:dyDescent="0.25">
      <c r="A135" s="17">
        <v>2034</v>
      </c>
    </row>
    <row r="136" spans="1:1" x14ac:dyDescent="0.25">
      <c r="A136" s="17">
        <v>2035</v>
      </c>
    </row>
    <row r="137" spans="1:1" x14ac:dyDescent="0.25">
      <c r="A137" s="17">
        <v>2036</v>
      </c>
    </row>
    <row r="138" spans="1:1" x14ac:dyDescent="0.25">
      <c r="A138" s="17">
        <v>2037</v>
      </c>
    </row>
    <row r="139" spans="1:1" x14ac:dyDescent="0.25">
      <c r="A139" s="17">
        <v>2038</v>
      </c>
    </row>
    <row r="140" spans="1:1" x14ac:dyDescent="0.25">
      <c r="A140" s="17">
        <v>2039</v>
      </c>
    </row>
    <row r="141" spans="1:1" x14ac:dyDescent="0.25">
      <c r="A141" s="17">
        <v>2040</v>
      </c>
    </row>
    <row r="142" spans="1:1" x14ac:dyDescent="0.25">
      <c r="A142" s="17">
        <v>2041</v>
      </c>
    </row>
    <row r="143" spans="1:1" x14ac:dyDescent="0.25">
      <c r="A143" s="17">
        <v>2042</v>
      </c>
    </row>
    <row r="144" spans="1:1" x14ac:dyDescent="0.25">
      <c r="A144" s="17">
        <v>2043</v>
      </c>
    </row>
    <row r="145" spans="1:1" x14ac:dyDescent="0.25">
      <c r="A145" s="17">
        <v>2044</v>
      </c>
    </row>
    <row r="146" spans="1:1" x14ac:dyDescent="0.25">
      <c r="A146" s="17">
        <v>2045</v>
      </c>
    </row>
    <row r="147" spans="1:1" x14ac:dyDescent="0.25">
      <c r="A147" s="17">
        <v>2046</v>
      </c>
    </row>
    <row r="148" spans="1:1" x14ac:dyDescent="0.25">
      <c r="A148" s="17">
        <v>2047</v>
      </c>
    </row>
    <row r="149" spans="1:1" x14ac:dyDescent="0.25">
      <c r="A149" s="17">
        <v>2048</v>
      </c>
    </row>
    <row r="150" spans="1:1" x14ac:dyDescent="0.25">
      <c r="A150" s="17">
        <v>2049</v>
      </c>
    </row>
    <row r="151" spans="1:1" x14ac:dyDescent="0.25">
      <c r="A151" s="17">
        <v>2050</v>
      </c>
    </row>
    <row r="152" spans="1:1" x14ac:dyDescent="0.25">
      <c r="A152" s="17">
        <v>2051</v>
      </c>
    </row>
    <row r="153" spans="1:1" x14ac:dyDescent="0.25">
      <c r="A153" s="17">
        <v>2052</v>
      </c>
    </row>
    <row r="154" spans="1:1" x14ac:dyDescent="0.25">
      <c r="A154" s="17">
        <v>2053</v>
      </c>
    </row>
    <row r="155" spans="1:1" x14ac:dyDescent="0.25">
      <c r="A155" s="17">
        <v>2054</v>
      </c>
    </row>
    <row r="156" spans="1:1" x14ac:dyDescent="0.25">
      <c r="A156" s="17">
        <v>2055</v>
      </c>
    </row>
    <row r="157" spans="1:1" x14ac:dyDescent="0.25">
      <c r="A157" s="17">
        <v>2056</v>
      </c>
    </row>
    <row r="158" spans="1:1" x14ac:dyDescent="0.25">
      <c r="A158" s="17">
        <v>2057</v>
      </c>
    </row>
    <row r="159" spans="1:1" x14ac:dyDescent="0.25">
      <c r="A159" s="17">
        <v>2058</v>
      </c>
    </row>
    <row r="160" spans="1:1" x14ac:dyDescent="0.25">
      <c r="A160" s="17">
        <v>2059</v>
      </c>
    </row>
    <row r="161" spans="1:1" x14ac:dyDescent="0.25">
      <c r="A161" s="17">
        <v>2060</v>
      </c>
    </row>
    <row r="162" spans="1:1" x14ac:dyDescent="0.25">
      <c r="A162" s="17">
        <v>2061</v>
      </c>
    </row>
    <row r="163" spans="1:1" x14ac:dyDescent="0.25">
      <c r="A163" s="17">
        <v>2062</v>
      </c>
    </row>
    <row r="164" spans="1:1" x14ac:dyDescent="0.25">
      <c r="A164" s="17">
        <v>2063</v>
      </c>
    </row>
    <row r="165" spans="1:1" x14ac:dyDescent="0.25">
      <c r="A165" s="17">
        <v>2064</v>
      </c>
    </row>
    <row r="166" spans="1:1" x14ac:dyDescent="0.25">
      <c r="A166" s="17">
        <v>2065</v>
      </c>
    </row>
    <row r="167" spans="1:1" x14ac:dyDescent="0.25">
      <c r="A167" s="17">
        <v>2066</v>
      </c>
    </row>
    <row r="168" spans="1:1" x14ac:dyDescent="0.25">
      <c r="A168" s="17">
        <v>2067</v>
      </c>
    </row>
    <row r="169" spans="1:1" x14ac:dyDescent="0.25">
      <c r="A169" s="17">
        <v>2068</v>
      </c>
    </row>
    <row r="170" spans="1:1" x14ac:dyDescent="0.25">
      <c r="A170" s="17">
        <v>2069</v>
      </c>
    </row>
    <row r="171" spans="1:1" x14ac:dyDescent="0.25">
      <c r="A171" s="17">
        <v>2070</v>
      </c>
    </row>
    <row r="172" spans="1:1" x14ac:dyDescent="0.25">
      <c r="A172" s="17">
        <v>2071</v>
      </c>
    </row>
    <row r="173" spans="1:1" x14ac:dyDescent="0.25">
      <c r="A173" s="17">
        <v>2072</v>
      </c>
    </row>
    <row r="174" spans="1:1" x14ac:dyDescent="0.25">
      <c r="A174" s="17">
        <v>2073</v>
      </c>
    </row>
    <row r="175" spans="1:1" x14ac:dyDescent="0.25">
      <c r="A175" s="17">
        <v>2074</v>
      </c>
    </row>
    <row r="176" spans="1:1" x14ac:dyDescent="0.25">
      <c r="A176" s="17">
        <v>2075</v>
      </c>
    </row>
    <row r="177" spans="1:1" x14ac:dyDescent="0.25">
      <c r="A177" s="17">
        <v>2076</v>
      </c>
    </row>
    <row r="178" spans="1:1" x14ac:dyDescent="0.25">
      <c r="A178" s="17">
        <v>2077</v>
      </c>
    </row>
    <row r="179" spans="1:1" x14ac:dyDescent="0.25">
      <c r="A179" s="17">
        <v>2078</v>
      </c>
    </row>
    <row r="180" spans="1:1" x14ac:dyDescent="0.25">
      <c r="A180" s="17">
        <v>2079</v>
      </c>
    </row>
    <row r="181" spans="1:1" x14ac:dyDescent="0.25">
      <c r="A181" s="17">
        <v>2080</v>
      </c>
    </row>
    <row r="182" spans="1:1" x14ac:dyDescent="0.25">
      <c r="A182" s="17">
        <v>2081</v>
      </c>
    </row>
    <row r="183" spans="1:1" x14ac:dyDescent="0.25">
      <c r="A183" s="17">
        <v>2082</v>
      </c>
    </row>
    <row r="184" spans="1:1" x14ac:dyDescent="0.25">
      <c r="A184" s="17">
        <v>2083</v>
      </c>
    </row>
    <row r="185" spans="1:1" x14ac:dyDescent="0.25">
      <c r="A185" s="17">
        <v>2084</v>
      </c>
    </row>
    <row r="186" spans="1:1" x14ac:dyDescent="0.25">
      <c r="A186" s="17">
        <v>2085</v>
      </c>
    </row>
    <row r="187" spans="1:1" x14ac:dyDescent="0.25">
      <c r="A187" s="17">
        <v>2086</v>
      </c>
    </row>
    <row r="188" spans="1:1" x14ac:dyDescent="0.25">
      <c r="A188" s="17">
        <v>2087</v>
      </c>
    </row>
    <row r="189" spans="1:1" x14ac:dyDescent="0.25">
      <c r="A189" s="17">
        <v>2088</v>
      </c>
    </row>
    <row r="190" spans="1:1" x14ac:dyDescent="0.25">
      <c r="A190" s="17">
        <v>2089</v>
      </c>
    </row>
    <row r="191" spans="1:1" x14ac:dyDescent="0.25">
      <c r="A191" s="17">
        <v>2090</v>
      </c>
    </row>
    <row r="192" spans="1:1" x14ac:dyDescent="0.25">
      <c r="A192" s="17">
        <v>2091</v>
      </c>
    </row>
    <row r="193" spans="1:1" x14ac:dyDescent="0.25">
      <c r="A193" s="17">
        <v>2092</v>
      </c>
    </row>
    <row r="194" spans="1:1" x14ac:dyDescent="0.25">
      <c r="A194" s="17">
        <v>2093</v>
      </c>
    </row>
    <row r="195" spans="1:1" x14ac:dyDescent="0.25">
      <c r="A195" s="17">
        <v>2094</v>
      </c>
    </row>
    <row r="196" spans="1:1" x14ac:dyDescent="0.25">
      <c r="A196" s="17">
        <v>2095</v>
      </c>
    </row>
    <row r="197" spans="1:1" x14ac:dyDescent="0.25">
      <c r="A197" s="17">
        <v>2096</v>
      </c>
    </row>
    <row r="198" spans="1:1" x14ac:dyDescent="0.25">
      <c r="A198" s="17">
        <v>2097</v>
      </c>
    </row>
    <row r="199" spans="1:1" x14ac:dyDescent="0.25">
      <c r="A199" s="17">
        <v>2098</v>
      </c>
    </row>
    <row r="200" spans="1:1" x14ac:dyDescent="0.25">
      <c r="A200" s="17">
        <v>2099</v>
      </c>
    </row>
    <row r="201" spans="1:1" x14ac:dyDescent="0.25">
      <c r="A201" s="17">
        <v>2100</v>
      </c>
    </row>
    <row r="202" spans="1:1" x14ac:dyDescent="0.25">
      <c r="A202" s="17">
        <v>2101</v>
      </c>
    </row>
    <row r="203" spans="1:1" x14ac:dyDescent="0.25">
      <c r="A203" s="17">
        <v>2102</v>
      </c>
    </row>
    <row r="204" spans="1:1" x14ac:dyDescent="0.25">
      <c r="A204" s="17">
        <v>2103</v>
      </c>
    </row>
    <row r="205" spans="1:1" x14ac:dyDescent="0.25">
      <c r="A205" s="17">
        <v>2104</v>
      </c>
    </row>
    <row r="206" spans="1:1" x14ac:dyDescent="0.25">
      <c r="A206" s="17">
        <v>2105</v>
      </c>
    </row>
    <row r="207" spans="1:1" x14ac:dyDescent="0.25">
      <c r="A207" s="17">
        <v>2106</v>
      </c>
    </row>
    <row r="208" spans="1:1" x14ac:dyDescent="0.25">
      <c r="A208" s="17">
        <v>2107</v>
      </c>
    </row>
    <row r="209" spans="1:1" x14ac:dyDescent="0.25">
      <c r="A209" s="17">
        <v>2108</v>
      </c>
    </row>
    <row r="210" spans="1:1" x14ac:dyDescent="0.25">
      <c r="A210" s="17">
        <v>2109</v>
      </c>
    </row>
    <row r="211" spans="1:1" x14ac:dyDescent="0.25">
      <c r="A211" s="17">
        <v>2110</v>
      </c>
    </row>
    <row r="212" spans="1:1" x14ac:dyDescent="0.25">
      <c r="A212" s="17">
        <v>2111</v>
      </c>
    </row>
    <row r="213" spans="1:1" x14ac:dyDescent="0.25">
      <c r="A213" s="17">
        <v>2112</v>
      </c>
    </row>
    <row r="214" spans="1:1" x14ac:dyDescent="0.25">
      <c r="A214" s="17">
        <v>2113</v>
      </c>
    </row>
    <row r="215" spans="1:1" x14ac:dyDescent="0.25">
      <c r="A215" s="17">
        <v>2114</v>
      </c>
    </row>
    <row r="216" spans="1:1" x14ac:dyDescent="0.25">
      <c r="A216" s="17">
        <v>2115</v>
      </c>
    </row>
    <row r="217" spans="1:1" x14ac:dyDescent="0.25">
      <c r="A217" s="17">
        <v>2116</v>
      </c>
    </row>
    <row r="218" spans="1:1" x14ac:dyDescent="0.25">
      <c r="A218" s="17">
        <v>2117</v>
      </c>
    </row>
    <row r="219" spans="1:1" x14ac:dyDescent="0.25">
      <c r="A219" s="17">
        <v>2118</v>
      </c>
    </row>
    <row r="220" spans="1:1" x14ac:dyDescent="0.25">
      <c r="A220" s="17">
        <v>2119</v>
      </c>
    </row>
    <row r="221" spans="1:1" x14ac:dyDescent="0.25">
      <c r="A221" s="17">
        <v>2120</v>
      </c>
    </row>
    <row r="222" spans="1:1" x14ac:dyDescent="0.25">
      <c r="A222" s="17">
        <v>2121</v>
      </c>
    </row>
    <row r="223" spans="1:1" x14ac:dyDescent="0.25">
      <c r="A223" s="17">
        <v>2122</v>
      </c>
    </row>
    <row r="224" spans="1:1" x14ac:dyDescent="0.25">
      <c r="A224" s="17">
        <v>2123</v>
      </c>
    </row>
    <row r="225" spans="1:1" x14ac:dyDescent="0.25">
      <c r="A225" s="17">
        <v>2124</v>
      </c>
    </row>
    <row r="226" spans="1:1" x14ac:dyDescent="0.25">
      <c r="A226" s="17">
        <v>2125</v>
      </c>
    </row>
    <row r="227" spans="1:1" x14ac:dyDescent="0.25">
      <c r="A227" s="17">
        <v>2126</v>
      </c>
    </row>
    <row r="228" spans="1:1" x14ac:dyDescent="0.25">
      <c r="A228" s="17">
        <v>2127</v>
      </c>
    </row>
    <row r="229" spans="1:1" x14ac:dyDescent="0.25">
      <c r="A229" s="17">
        <v>2128</v>
      </c>
    </row>
    <row r="230" spans="1:1" x14ac:dyDescent="0.25">
      <c r="A230" s="17">
        <v>2129</v>
      </c>
    </row>
    <row r="231" spans="1:1" x14ac:dyDescent="0.25">
      <c r="A231" s="17">
        <v>2130</v>
      </c>
    </row>
    <row r="232" spans="1:1" x14ac:dyDescent="0.25">
      <c r="A232" s="17">
        <v>2131</v>
      </c>
    </row>
    <row r="234" spans="1:1" x14ac:dyDescent="0.25">
      <c r="A234" s="13" t="s">
        <v>247</v>
      </c>
    </row>
    <row r="235" spans="1:1" x14ac:dyDescent="0.25">
      <c r="A235" s="17">
        <v>1</v>
      </c>
    </row>
    <row r="236" spans="1:1" x14ac:dyDescent="0.25">
      <c r="A236" s="17">
        <v>2</v>
      </c>
    </row>
    <row r="237" spans="1:1" x14ac:dyDescent="0.25">
      <c r="A237" s="17">
        <v>3</v>
      </c>
    </row>
    <row r="238" spans="1:1" x14ac:dyDescent="0.25">
      <c r="A238" s="17">
        <v>4</v>
      </c>
    </row>
    <row r="239" spans="1:1" x14ac:dyDescent="0.25">
      <c r="A239" s="17">
        <v>5</v>
      </c>
    </row>
    <row r="240" spans="1:1" x14ac:dyDescent="0.25">
      <c r="A240" s="17">
        <v>6</v>
      </c>
    </row>
    <row r="241" spans="1:1" x14ac:dyDescent="0.25">
      <c r="A241" s="17">
        <v>7</v>
      </c>
    </row>
    <row r="242" spans="1:1" x14ac:dyDescent="0.25">
      <c r="A242" s="17">
        <v>8</v>
      </c>
    </row>
    <row r="243" spans="1:1" x14ac:dyDescent="0.25">
      <c r="A243" s="17">
        <v>9</v>
      </c>
    </row>
    <row r="244" spans="1:1" x14ac:dyDescent="0.25">
      <c r="A244" s="17">
        <v>10</v>
      </c>
    </row>
    <row r="245" spans="1:1" x14ac:dyDescent="0.25">
      <c r="A245" s="17">
        <v>11</v>
      </c>
    </row>
    <row r="246" spans="1:1" x14ac:dyDescent="0.25">
      <c r="A246" s="17">
        <v>12</v>
      </c>
    </row>
    <row r="247" spans="1:1" x14ac:dyDescent="0.25">
      <c r="A247" s="17">
        <v>13</v>
      </c>
    </row>
    <row r="248" spans="1:1" x14ac:dyDescent="0.25">
      <c r="A248" s="17">
        <v>14</v>
      </c>
    </row>
    <row r="249" spans="1:1" x14ac:dyDescent="0.25">
      <c r="A249" s="17">
        <v>15</v>
      </c>
    </row>
    <row r="250" spans="1:1" x14ac:dyDescent="0.25">
      <c r="A250" s="17">
        <v>16</v>
      </c>
    </row>
    <row r="251" spans="1:1" x14ac:dyDescent="0.25">
      <c r="A251" s="17">
        <v>17</v>
      </c>
    </row>
    <row r="252" spans="1:1" x14ac:dyDescent="0.25">
      <c r="A252" s="17">
        <v>18</v>
      </c>
    </row>
    <row r="253" spans="1:1" x14ac:dyDescent="0.25">
      <c r="A253" s="17">
        <v>19</v>
      </c>
    </row>
    <row r="254" spans="1:1" x14ac:dyDescent="0.25">
      <c r="A254" s="17">
        <v>20</v>
      </c>
    </row>
    <row r="255" spans="1:1" x14ac:dyDescent="0.25">
      <c r="A255" s="17">
        <v>21</v>
      </c>
    </row>
    <row r="256" spans="1:1" x14ac:dyDescent="0.25">
      <c r="A256" s="17">
        <v>22</v>
      </c>
    </row>
    <row r="257" spans="1:1" x14ac:dyDescent="0.25">
      <c r="A257" s="17">
        <v>23</v>
      </c>
    </row>
    <row r="258" spans="1:1" x14ac:dyDescent="0.25">
      <c r="A258" s="17">
        <v>24</v>
      </c>
    </row>
    <row r="259" spans="1:1" x14ac:dyDescent="0.25">
      <c r="A259" s="17">
        <v>25</v>
      </c>
    </row>
    <row r="260" spans="1:1" x14ac:dyDescent="0.25">
      <c r="A260" s="17">
        <v>26</v>
      </c>
    </row>
    <row r="261" spans="1:1" x14ac:dyDescent="0.25">
      <c r="A261" s="17">
        <v>27</v>
      </c>
    </row>
    <row r="262" spans="1:1" x14ac:dyDescent="0.25">
      <c r="A262" s="17">
        <v>28</v>
      </c>
    </row>
    <row r="263" spans="1:1" x14ac:dyDescent="0.25">
      <c r="A263" s="17">
        <v>29</v>
      </c>
    </row>
    <row r="264" spans="1:1" x14ac:dyDescent="0.25">
      <c r="A264" s="17">
        <v>30</v>
      </c>
    </row>
    <row r="265" spans="1:1" x14ac:dyDescent="0.25">
      <c r="A265" s="17">
        <v>31</v>
      </c>
    </row>
    <row r="266" spans="1:1" x14ac:dyDescent="0.25">
      <c r="A266" s="17">
        <v>32</v>
      </c>
    </row>
    <row r="267" spans="1:1" x14ac:dyDescent="0.25">
      <c r="A267" s="17">
        <v>33</v>
      </c>
    </row>
    <row r="268" spans="1:1" x14ac:dyDescent="0.25">
      <c r="A268" s="17">
        <v>34</v>
      </c>
    </row>
    <row r="269" spans="1:1" x14ac:dyDescent="0.25">
      <c r="A269" s="17">
        <v>35</v>
      </c>
    </row>
    <row r="270" spans="1:1" x14ac:dyDescent="0.25">
      <c r="A270" s="17">
        <v>36</v>
      </c>
    </row>
    <row r="271" spans="1:1" x14ac:dyDescent="0.25">
      <c r="A271" s="17">
        <v>37</v>
      </c>
    </row>
    <row r="272" spans="1:1" x14ac:dyDescent="0.25">
      <c r="A272" s="17">
        <v>38</v>
      </c>
    </row>
    <row r="273" spans="1:1" x14ac:dyDescent="0.25">
      <c r="A273" s="17">
        <v>39</v>
      </c>
    </row>
    <row r="274" spans="1:1" x14ac:dyDescent="0.25">
      <c r="A274" s="17">
        <v>40</v>
      </c>
    </row>
    <row r="275" spans="1:1" x14ac:dyDescent="0.25">
      <c r="A275" s="17">
        <v>41</v>
      </c>
    </row>
    <row r="276" spans="1:1" x14ac:dyDescent="0.25">
      <c r="A276" s="17">
        <v>42</v>
      </c>
    </row>
    <row r="277" spans="1:1" x14ac:dyDescent="0.25">
      <c r="A277" s="17">
        <v>43</v>
      </c>
    </row>
    <row r="278" spans="1:1" x14ac:dyDescent="0.25">
      <c r="A278" s="17">
        <v>44</v>
      </c>
    </row>
    <row r="279" spans="1:1" x14ac:dyDescent="0.25">
      <c r="A279" s="17">
        <v>45</v>
      </c>
    </row>
    <row r="280" spans="1:1" x14ac:dyDescent="0.25">
      <c r="A280" s="17">
        <v>46</v>
      </c>
    </row>
    <row r="281" spans="1:1" x14ac:dyDescent="0.25">
      <c r="A281" s="17">
        <v>47</v>
      </c>
    </row>
    <row r="282" spans="1:1" x14ac:dyDescent="0.25">
      <c r="A282" s="17">
        <v>48</v>
      </c>
    </row>
    <row r="283" spans="1:1" x14ac:dyDescent="0.25">
      <c r="A283" s="17">
        <v>49</v>
      </c>
    </row>
    <row r="284" spans="1:1" x14ac:dyDescent="0.25">
      <c r="A284" s="17">
        <v>50</v>
      </c>
    </row>
    <row r="285" spans="1:1" x14ac:dyDescent="0.25">
      <c r="A285" s="17">
        <v>51</v>
      </c>
    </row>
    <row r="286" spans="1:1" x14ac:dyDescent="0.25">
      <c r="A286" s="17">
        <v>52</v>
      </c>
    </row>
    <row r="287" spans="1:1" x14ac:dyDescent="0.25">
      <c r="A287" s="17">
        <v>53</v>
      </c>
    </row>
    <row r="288" spans="1:1" x14ac:dyDescent="0.25">
      <c r="A288" s="17">
        <v>54</v>
      </c>
    </row>
    <row r="289" spans="1:1" x14ac:dyDescent="0.25">
      <c r="A289" s="17">
        <v>55</v>
      </c>
    </row>
    <row r="290" spans="1:1" x14ac:dyDescent="0.25">
      <c r="A290" s="17">
        <v>56</v>
      </c>
    </row>
    <row r="291" spans="1:1" x14ac:dyDescent="0.25">
      <c r="A291" s="17">
        <v>57</v>
      </c>
    </row>
    <row r="292" spans="1:1" x14ac:dyDescent="0.25">
      <c r="A292" s="17">
        <v>58</v>
      </c>
    </row>
    <row r="293" spans="1:1" x14ac:dyDescent="0.25">
      <c r="A293" s="17">
        <v>59</v>
      </c>
    </row>
    <row r="294" spans="1:1" x14ac:dyDescent="0.25">
      <c r="A294" s="17">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4"/>
  <sheetViews>
    <sheetView zoomScale="70" zoomScaleNormal="70" workbookViewId="0"/>
  </sheetViews>
  <sheetFormatPr baseColWidth="10" defaultColWidth="20.625" defaultRowHeight="50.25" customHeight="1" x14ac:dyDescent="0.25"/>
  <cols>
    <col min="1" max="2" width="20.625" style="7"/>
    <col min="3" max="3" width="48.875" style="7" customWidth="1"/>
    <col min="4" max="16384" width="20.625" style="7"/>
  </cols>
  <sheetData>
    <row r="1" spans="1:11" ht="50.25" customHeight="1" x14ac:dyDescent="0.25">
      <c r="A1" s="3" t="s">
        <v>248</v>
      </c>
      <c r="B1" s="4" t="s">
        <v>249</v>
      </c>
      <c r="C1" s="4" t="s">
        <v>250</v>
      </c>
      <c r="D1" s="4" t="s">
        <v>251</v>
      </c>
      <c r="E1" s="5" t="s">
        <v>252</v>
      </c>
      <c r="F1" s="4" t="s">
        <v>253</v>
      </c>
      <c r="G1" s="4" t="s">
        <v>254</v>
      </c>
      <c r="H1" s="4" t="s">
        <v>255</v>
      </c>
      <c r="I1" s="4" t="s">
        <v>256</v>
      </c>
      <c r="J1" s="4" t="s">
        <v>257</v>
      </c>
      <c r="K1" s="6"/>
    </row>
    <row r="2" spans="1:11" ht="50.25" customHeight="1" x14ac:dyDescent="0.25">
      <c r="A2" s="8">
        <v>1</v>
      </c>
      <c r="B2" s="9" t="s">
        <v>124</v>
      </c>
      <c r="C2" s="9" t="s">
        <v>125</v>
      </c>
      <c r="D2" s="9" t="s">
        <v>258</v>
      </c>
      <c r="E2" s="10">
        <v>0.3</v>
      </c>
      <c r="F2" s="9">
        <v>20</v>
      </c>
      <c r="G2" s="9">
        <v>30</v>
      </c>
      <c r="H2" s="9">
        <v>40</v>
      </c>
      <c r="I2" s="9">
        <v>50</v>
      </c>
      <c r="J2" s="9">
        <v>90</v>
      </c>
      <c r="K2" s="6"/>
    </row>
    <row r="3" spans="1:11" ht="50.25" customHeight="1" x14ac:dyDescent="0.25">
      <c r="A3" s="8">
        <v>2</v>
      </c>
      <c r="B3" s="9" t="s">
        <v>259</v>
      </c>
      <c r="C3" s="9" t="s">
        <v>260</v>
      </c>
      <c r="D3" s="9" t="s">
        <v>261</v>
      </c>
      <c r="E3" s="10">
        <v>0.6</v>
      </c>
      <c r="F3" s="9">
        <v>20</v>
      </c>
      <c r="G3" s="9">
        <v>130</v>
      </c>
      <c r="H3" s="9">
        <v>140</v>
      </c>
      <c r="I3" s="9">
        <v>150</v>
      </c>
      <c r="J3" s="9">
        <v>160</v>
      </c>
      <c r="K3" s="6"/>
    </row>
    <row r="4" spans="1:11" ht="50.25" customHeight="1" x14ac:dyDescent="0.25">
      <c r="A4" s="8">
        <v>3</v>
      </c>
      <c r="B4" s="9" t="s">
        <v>262</v>
      </c>
      <c r="C4" s="9" t="s">
        <v>263</v>
      </c>
      <c r="D4" s="9" t="s">
        <v>258</v>
      </c>
      <c r="E4" s="10">
        <v>0.6</v>
      </c>
      <c r="F4" s="9">
        <v>20</v>
      </c>
      <c r="G4" s="9">
        <v>100</v>
      </c>
      <c r="H4" s="9">
        <v>110</v>
      </c>
      <c r="I4" s="9">
        <v>120</v>
      </c>
      <c r="J4" s="9">
        <v>160</v>
      </c>
      <c r="K4" s="6"/>
    </row>
    <row r="5" spans="1:11" ht="72.75" customHeight="1" x14ac:dyDescent="0.25">
      <c r="A5" s="8">
        <v>4</v>
      </c>
      <c r="B5" s="9" t="s">
        <v>264</v>
      </c>
      <c r="C5" s="9" t="s">
        <v>265</v>
      </c>
      <c r="D5" s="9" t="s">
        <v>261</v>
      </c>
      <c r="E5" s="10">
        <v>0.5</v>
      </c>
      <c r="F5" s="9">
        <v>20</v>
      </c>
      <c r="G5" s="9">
        <v>130</v>
      </c>
      <c r="H5" s="9">
        <v>140</v>
      </c>
      <c r="I5" s="9">
        <v>150</v>
      </c>
      <c r="J5" s="9">
        <v>160</v>
      </c>
      <c r="K5" s="6"/>
    </row>
    <row r="6" spans="1:11" ht="50.25" customHeight="1" x14ac:dyDescent="0.25">
      <c r="A6" s="8">
        <v>5</v>
      </c>
      <c r="B6" s="9" t="s">
        <v>266</v>
      </c>
      <c r="C6" s="9" t="s">
        <v>267</v>
      </c>
      <c r="D6" s="9" t="s">
        <v>258</v>
      </c>
      <c r="E6" s="10">
        <v>0.9</v>
      </c>
      <c r="F6" s="9">
        <v>20</v>
      </c>
      <c r="G6" s="9">
        <v>170</v>
      </c>
      <c r="H6" s="9">
        <v>180</v>
      </c>
      <c r="I6" s="9">
        <v>190</v>
      </c>
      <c r="J6" s="9">
        <v>230</v>
      </c>
      <c r="K6" s="6"/>
    </row>
    <row r="7" spans="1:11" ht="84" customHeight="1" x14ac:dyDescent="0.25">
      <c r="A7" s="8">
        <v>6</v>
      </c>
      <c r="B7" s="9" t="s">
        <v>268</v>
      </c>
      <c r="C7" s="9" t="s">
        <v>269</v>
      </c>
      <c r="D7" s="9" t="s">
        <v>258</v>
      </c>
      <c r="E7" s="10">
        <v>0.8</v>
      </c>
      <c r="F7" s="9">
        <v>20</v>
      </c>
      <c r="G7" s="9">
        <v>170</v>
      </c>
      <c r="H7" s="9">
        <v>180</v>
      </c>
      <c r="I7" s="9">
        <v>190</v>
      </c>
      <c r="J7" s="9">
        <v>230</v>
      </c>
      <c r="K7" s="6"/>
    </row>
    <row r="8" spans="1:11" ht="77.25" customHeight="1" x14ac:dyDescent="0.25">
      <c r="A8" s="8">
        <v>7</v>
      </c>
      <c r="B8" s="9" t="s">
        <v>270</v>
      </c>
      <c r="C8" s="9" t="s">
        <v>271</v>
      </c>
      <c r="D8" s="9" t="s">
        <v>258</v>
      </c>
      <c r="E8" s="10">
        <v>0.8</v>
      </c>
      <c r="F8" s="9">
        <v>20</v>
      </c>
      <c r="G8" s="9">
        <v>170</v>
      </c>
      <c r="H8" s="9">
        <v>180</v>
      </c>
      <c r="I8" s="9">
        <v>190</v>
      </c>
      <c r="J8" s="9">
        <v>230</v>
      </c>
      <c r="K8" s="6"/>
    </row>
    <row r="9" spans="1:11" ht="85.5" customHeight="1" x14ac:dyDescent="0.25">
      <c r="A9" s="8">
        <v>8</v>
      </c>
      <c r="B9" s="9" t="s">
        <v>272</v>
      </c>
      <c r="C9" s="9" t="s">
        <v>273</v>
      </c>
      <c r="D9" s="9" t="s">
        <v>258</v>
      </c>
      <c r="E9" s="10">
        <v>0.8</v>
      </c>
      <c r="F9" s="9">
        <v>20</v>
      </c>
      <c r="G9" s="9">
        <v>170</v>
      </c>
      <c r="H9" s="9">
        <v>180</v>
      </c>
      <c r="I9" s="9">
        <v>190</v>
      </c>
      <c r="J9" s="9">
        <v>230</v>
      </c>
      <c r="K9" s="6"/>
    </row>
    <row r="10" spans="1:11" ht="75.75" customHeight="1" x14ac:dyDescent="0.25">
      <c r="A10" s="8">
        <v>9</v>
      </c>
      <c r="B10" s="9" t="s">
        <v>274</v>
      </c>
      <c r="C10" s="9" t="s">
        <v>275</v>
      </c>
      <c r="D10" s="9" t="s">
        <v>258</v>
      </c>
      <c r="E10" s="10">
        <v>0.8</v>
      </c>
      <c r="F10" s="9">
        <v>20</v>
      </c>
      <c r="G10" s="9">
        <v>170</v>
      </c>
      <c r="H10" s="9">
        <v>180</v>
      </c>
      <c r="I10" s="9">
        <v>190</v>
      </c>
      <c r="J10" s="9">
        <v>230</v>
      </c>
      <c r="K10" s="6"/>
    </row>
    <row r="11" spans="1:11" ht="50.25" customHeight="1" x14ac:dyDescent="0.25">
      <c r="A11" s="8">
        <v>10</v>
      </c>
      <c r="B11" s="9" t="s">
        <v>276</v>
      </c>
      <c r="C11" s="9" t="s">
        <v>277</v>
      </c>
      <c r="D11" s="9" t="s">
        <v>261</v>
      </c>
      <c r="E11" s="10">
        <v>0.9</v>
      </c>
      <c r="F11" s="9">
        <v>20</v>
      </c>
      <c r="G11" s="9">
        <v>200</v>
      </c>
      <c r="H11" s="9">
        <v>210</v>
      </c>
      <c r="I11" s="9">
        <v>220</v>
      </c>
      <c r="J11" s="9">
        <v>230</v>
      </c>
      <c r="K11" s="6"/>
    </row>
    <row r="12" spans="1:11" ht="73.5" customHeight="1" x14ac:dyDescent="0.25">
      <c r="A12" s="8">
        <v>11</v>
      </c>
      <c r="B12" s="9" t="s">
        <v>278</v>
      </c>
      <c r="C12" s="9" t="s">
        <v>279</v>
      </c>
      <c r="D12" s="9" t="s">
        <v>261</v>
      </c>
      <c r="E12" s="10">
        <v>0.8</v>
      </c>
      <c r="F12" s="9">
        <v>20</v>
      </c>
      <c r="G12" s="9">
        <v>200</v>
      </c>
      <c r="H12" s="9">
        <v>210</v>
      </c>
      <c r="I12" s="9">
        <v>220</v>
      </c>
      <c r="J12" s="9">
        <v>230</v>
      </c>
      <c r="K12" s="6"/>
    </row>
    <row r="13" spans="1:11" ht="50.25" customHeight="1" x14ac:dyDescent="0.25">
      <c r="A13" s="8">
        <v>12</v>
      </c>
      <c r="B13" s="9" t="s">
        <v>280</v>
      </c>
      <c r="C13" s="9" t="s">
        <v>281</v>
      </c>
      <c r="D13" s="9" t="s">
        <v>261</v>
      </c>
      <c r="E13" s="10">
        <v>0.4</v>
      </c>
      <c r="F13" s="9">
        <v>20</v>
      </c>
      <c r="G13" s="9">
        <v>130</v>
      </c>
      <c r="H13" s="9">
        <v>140</v>
      </c>
      <c r="I13" s="9">
        <v>150</v>
      </c>
      <c r="J13" s="9">
        <v>160</v>
      </c>
      <c r="K13" s="6"/>
    </row>
    <row r="14" spans="1:11" ht="50.25" customHeight="1" x14ac:dyDescent="0.25">
      <c r="A14" s="8">
        <v>13</v>
      </c>
      <c r="B14" s="9" t="s">
        <v>282</v>
      </c>
      <c r="C14" s="9" t="s">
        <v>283</v>
      </c>
      <c r="D14" s="9" t="s">
        <v>258</v>
      </c>
      <c r="E14" s="10">
        <v>0.4</v>
      </c>
      <c r="F14" s="9">
        <v>20</v>
      </c>
      <c r="G14" s="9">
        <v>100</v>
      </c>
      <c r="H14" s="9">
        <v>110</v>
      </c>
      <c r="I14" s="9">
        <v>120</v>
      </c>
      <c r="J14" s="9">
        <v>160</v>
      </c>
      <c r="K14" s="6"/>
    </row>
    <row r="15" spans="1:11" ht="50.25" customHeight="1" x14ac:dyDescent="0.25">
      <c r="A15" s="8">
        <v>14</v>
      </c>
      <c r="B15" s="9" t="s">
        <v>284</v>
      </c>
      <c r="C15" s="9" t="s">
        <v>285</v>
      </c>
      <c r="D15" s="9" t="s">
        <v>258</v>
      </c>
      <c r="E15" s="10">
        <v>0.5</v>
      </c>
      <c r="F15" s="9">
        <v>20</v>
      </c>
      <c r="G15" s="9">
        <v>100</v>
      </c>
      <c r="H15" s="9">
        <v>110</v>
      </c>
      <c r="I15" s="9">
        <v>120</v>
      </c>
      <c r="J15" s="9">
        <v>160</v>
      </c>
      <c r="K15" s="6"/>
    </row>
    <row r="16" spans="1:11" ht="50.25" customHeight="1" x14ac:dyDescent="0.25">
      <c r="A16" s="8">
        <v>15</v>
      </c>
      <c r="B16" s="9" t="s">
        <v>286</v>
      </c>
      <c r="C16" s="9" t="s">
        <v>287</v>
      </c>
      <c r="D16" s="9" t="s">
        <v>258</v>
      </c>
      <c r="E16" s="10">
        <v>0.3</v>
      </c>
      <c r="F16" s="9">
        <v>20</v>
      </c>
      <c r="G16" s="9">
        <v>30</v>
      </c>
      <c r="H16" s="9">
        <v>40</v>
      </c>
      <c r="I16" s="9">
        <v>50</v>
      </c>
      <c r="J16" s="9">
        <v>90</v>
      </c>
      <c r="K16" s="6"/>
    </row>
    <row r="17" spans="1:11" ht="50.25" customHeight="1" x14ac:dyDescent="0.25">
      <c r="A17" s="8">
        <v>16</v>
      </c>
      <c r="B17" s="9" t="s">
        <v>288</v>
      </c>
      <c r="C17" s="9" t="s">
        <v>289</v>
      </c>
      <c r="D17" s="9" t="s">
        <v>261</v>
      </c>
      <c r="E17" s="10">
        <v>0.8</v>
      </c>
      <c r="F17" s="9">
        <v>20</v>
      </c>
      <c r="G17" s="9">
        <v>200</v>
      </c>
      <c r="H17" s="9">
        <v>210</v>
      </c>
      <c r="I17" s="9">
        <v>220</v>
      </c>
      <c r="J17" s="9">
        <v>230</v>
      </c>
      <c r="K17" s="6"/>
    </row>
    <row r="18" spans="1:11" ht="50.25" customHeight="1" x14ac:dyDescent="0.25">
      <c r="A18" s="8">
        <v>17</v>
      </c>
      <c r="B18" s="9" t="s">
        <v>133</v>
      </c>
      <c r="C18" s="9" t="s">
        <v>290</v>
      </c>
      <c r="D18" s="9" t="s">
        <v>258</v>
      </c>
      <c r="E18" s="10">
        <v>0.8</v>
      </c>
      <c r="F18" s="9">
        <v>20</v>
      </c>
      <c r="G18" s="9">
        <v>170</v>
      </c>
      <c r="H18" s="9">
        <v>180</v>
      </c>
      <c r="I18" s="9">
        <v>190</v>
      </c>
      <c r="J18" s="9">
        <v>230</v>
      </c>
      <c r="K18" s="6"/>
    </row>
    <row r="19" spans="1:11" ht="50.25" customHeight="1" x14ac:dyDescent="0.25">
      <c r="A19" s="8">
        <v>18</v>
      </c>
      <c r="B19" s="9" t="s">
        <v>291</v>
      </c>
      <c r="C19" s="9" t="s">
        <v>134</v>
      </c>
      <c r="D19" s="9" t="s">
        <v>261</v>
      </c>
      <c r="E19" s="10">
        <v>1</v>
      </c>
      <c r="F19" s="9">
        <v>20</v>
      </c>
      <c r="G19" s="9">
        <v>270</v>
      </c>
      <c r="H19" s="9">
        <v>280</v>
      </c>
      <c r="I19" s="9">
        <v>290</v>
      </c>
      <c r="J19" s="9">
        <v>300</v>
      </c>
      <c r="K19" s="6"/>
    </row>
    <row r="20" spans="1:11" ht="50.25" customHeight="1" x14ac:dyDescent="0.25">
      <c r="A20" s="8">
        <v>19</v>
      </c>
      <c r="B20" s="9" t="s">
        <v>292</v>
      </c>
      <c r="C20" s="9" t="s">
        <v>293</v>
      </c>
      <c r="D20" s="9" t="s">
        <v>258</v>
      </c>
      <c r="E20" s="10">
        <v>0.8</v>
      </c>
      <c r="F20" s="9">
        <v>20</v>
      </c>
      <c r="G20" s="9">
        <v>170</v>
      </c>
      <c r="H20" s="9">
        <v>180</v>
      </c>
      <c r="I20" s="9">
        <v>190</v>
      </c>
      <c r="J20" s="9">
        <v>230</v>
      </c>
      <c r="K20" s="6"/>
    </row>
    <row r="21" spans="1:11" ht="50.25" customHeight="1" x14ac:dyDescent="0.25">
      <c r="A21" s="8">
        <v>20</v>
      </c>
      <c r="B21" s="9" t="s">
        <v>294</v>
      </c>
      <c r="C21" s="9" t="s">
        <v>295</v>
      </c>
      <c r="D21" s="9" t="s">
        <v>258</v>
      </c>
      <c r="E21" s="10">
        <v>0.8</v>
      </c>
      <c r="F21" s="9">
        <v>20</v>
      </c>
      <c r="G21" s="9">
        <v>170</v>
      </c>
      <c r="H21" s="9">
        <v>180</v>
      </c>
      <c r="I21" s="9">
        <v>190</v>
      </c>
      <c r="J21" s="9">
        <v>230</v>
      </c>
      <c r="K21" s="6"/>
    </row>
    <row r="22" spans="1:11" ht="50.25" customHeight="1" x14ac:dyDescent="0.25">
      <c r="A22" s="8">
        <v>21</v>
      </c>
      <c r="B22" s="9" t="s">
        <v>296</v>
      </c>
      <c r="C22" s="9" t="s">
        <v>297</v>
      </c>
      <c r="D22" s="9" t="s">
        <v>258</v>
      </c>
      <c r="E22" s="10">
        <v>0.8</v>
      </c>
      <c r="F22" s="9">
        <v>20</v>
      </c>
      <c r="G22" s="9">
        <v>170</v>
      </c>
      <c r="H22" s="9">
        <v>180</v>
      </c>
      <c r="I22" s="9">
        <v>190</v>
      </c>
      <c r="J22" s="9">
        <v>230</v>
      </c>
      <c r="K22" s="6"/>
    </row>
    <row r="23" spans="1:11" ht="50.25" customHeight="1" x14ac:dyDescent="0.25">
      <c r="A23" s="8">
        <v>22</v>
      </c>
      <c r="B23" s="9" t="s">
        <v>298</v>
      </c>
      <c r="C23" s="9" t="s">
        <v>299</v>
      </c>
      <c r="D23" s="9" t="s">
        <v>258</v>
      </c>
      <c r="E23" s="10">
        <v>0.6</v>
      </c>
      <c r="F23" s="9">
        <v>20</v>
      </c>
      <c r="G23" s="9">
        <v>100</v>
      </c>
      <c r="H23" s="9">
        <v>110</v>
      </c>
      <c r="I23" s="9">
        <v>120</v>
      </c>
      <c r="J23" s="9">
        <v>160</v>
      </c>
      <c r="K23" s="6"/>
    </row>
    <row r="24" spans="1:11" ht="50.25" customHeight="1" x14ac:dyDescent="0.25">
      <c r="A24" s="8">
        <v>23</v>
      </c>
      <c r="B24" s="9" t="s">
        <v>300</v>
      </c>
      <c r="C24" s="9" t="s">
        <v>301</v>
      </c>
      <c r="D24" s="9" t="s">
        <v>258</v>
      </c>
      <c r="E24" s="10">
        <v>0.8</v>
      </c>
      <c r="F24" s="9">
        <v>20</v>
      </c>
      <c r="G24" s="9">
        <v>170</v>
      </c>
      <c r="H24" s="9">
        <v>180</v>
      </c>
      <c r="I24" s="9">
        <v>190</v>
      </c>
      <c r="J24" s="9">
        <v>230</v>
      </c>
      <c r="K24" s="6"/>
    </row>
    <row r="25" spans="1:11" ht="50.25" customHeight="1" x14ac:dyDescent="0.25">
      <c r="A25" s="8">
        <v>24</v>
      </c>
      <c r="B25" s="9" t="s">
        <v>302</v>
      </c>
      <c r="C25" s="9" t="s">
        <v>303</v>
      </c>
      <c r="D25" s="9" t="s">
        <v>261</v>
      </c>
      <c r="E25" s="10">
        <v>0.8</v>
      </c>
      <c r="F25" s="9">
        <v>20</v>
      </c>
      <c r="G25" s="9">
        <v>200</v>
      </c>
      <c r="H25" s="9">
        <v>210</v>
      </c>
      <c r="I25" s="9">
        <v>220</v>
      </c>
      <c r="J25" s="9">
        <v>230</v>
      </c>
      <c r="K25" s="6"/>
    </row>
    <row r="26" spans="1:11" ht="50.25" customHeight="1" x14ac:dyDescent="0.25">
      <c r="A26" s="8">
        <v>25</v>
      </c>
      <c r="B26" s="9" t="s">
        <v>304</v>
      </c>
      <c r="C26" s="9" t="s">
        <v>305</v>
      </c>
      <c r="D26" s="9" t="s">
        <v>261</v>
      </c>
      <c r="E26" s="10">
        <v>0.9</v>
      </c>
      <c r="F26" s="9">
        <v>20</v>
      </c>
      <c r="G26" s="9">
        <v>200</v>
      </c>
      <c r="H26" s="9">
        <v>210</v>
      </c>
      <c r="I26" s="9">
        <v>220</v>
      </c>
      <c r="J26" s="9">
        <v>230</v>
      </c>
      <c r="K26" s="6"/>
    </row>
    <row r="27" spans="1:11" ht="50.25" customHeight="1" x14ac:dyDescent="0.25">
      <c r="A27" s="8">
        <v>26</v>
      </c>
      <c r="B27" s="9" t="s">
        <v>306</v>
      </c>
      <c r="C27" s="9" t="s">
        <v>307</v>
      </c>
      <c r="D27" s="9" t="s">
        <v>258</v>
      </c>
      <c r="E27" s="10">
        <v>0.8</v>
      </c>
      <c r="F27" s="9">
        <v>20</v>
      </c>
      <c r="G27" s="9">
        <v>170</v>
      </c>
      <c r="H27" s="9">
        <v>180</v>
      </c>
      <c r="I27" s="9">
        <v>190</v>
      </c>
      <c r="J27" s="9">
        <v>230</v>
      </c>
      <c r="K27" s="6"/>
    </row>
    <row r="28" spans="1:11" ht="50.25" customHeight="1" x14ac:dyDescent="0.25">
      <c r="A28" s="8">
        <v>27</v>
      </c>
      <c r="B28" s="9" t="s">
        <v>308</v>
      </c>
      <c r="C28" s="9" t="s">
        <v>309</v>
      </c>
      <c r="D28" s="9" t="s">
        <v>261</v>
      </c>
      <c r="E28" s="10">
        <v>0.8</v>
      </c>
      <c r="F28" s="9">
        <v>20</v>
      </c>
      <c r="G28" s="9">
        <v>200</v>
      </c>
      <c r="H28" s="9">
        <v>210</v>
      </c>
      <c r="I28" s="9">
        <v>220</v>
      </c>
      <c r="J28" s="9">
        <v>230</v>
      </c>
      <c r="K28" s="6"/>
    </row>
    <row r="29" spans="1:11" ht="50.25" customHeight="1" x14ac:dyDescent="0.25">
      <c r="A29" s="8">
        <v>28</v>
      </c>
      <c r="B29" s="9" t="s">
        <v>310</v>
      </c>
      <c r="C29" s="9" t="s">
        <v>311</v>
      </c>
      <c r="D29" s="9" t="s">
        <v>261</v>
      </c>
      <c r="E29" s="10">
        <v>0.8</v>
      </c>
      <c r="F29" s="9">
        <v>20</v>
      </c>
      <c r="G29" s="9">
        <v>200</v>
      </c>
      <c r="H29" s="9">
        <v>210</v>
      </c>
      <c r="I29" s="9">
        <v>220</v>
      </c>
      <c r="J29" s="9">
        <v>230</v>
      </c>
      <c r="K29" s="6"/>
    </row>
    <row r="30" spans="1:11" ht="50.25" customHeight="1" x14ac:dyDescent="0.25">
      <c r="A30" s="8">
        <v>29</v>
      </c>
      <c r="B30" s="9" t="s">
        <v>312</v>
      </c>
      <c r="C30" s="9" t="s">
        <v>313</v>
      </c>
      <c r="D30" s="9" t="s">
        <v>261</v>
      </c>
      <c r="E30" s="10">
        <v>0.8</v>
      </c>
      <c r="F30" s="9">
        <v>20</v>
      </c>
      <c r="G30" s="9">
        <v>200</v>
      </c>
      <c r="H30" s="9">
        <v>210</v>
      </c>
      <c r="I30" s="9">
        <v>220</v>
      </c>
      <c r="J30" s="9">
        <v>230</v>
      </c>
      <c r="K30" s="6"/>
    </row>
    <row r="31" spans="1:11" ht="50.25" customHeight="1" x14ac:dyDescent="0.25">
      <c r="A31" s="8">
        <v>30</v>
      </c>
      <c r="B31" s="9" t="s">
        <v>114</v>
      </c>
      <c r="C31" s="9" t="s">
        <v>115</v>
      </c>
      <c r="D31" s="9" t="s">
        <v>261</v>
      </c>
      <c r="E31" s="10">
        <v>0.7</v>
      </c>
      <c r="F31" s="9">
        <v>20</v>
      </c>
      <c r="G31" s="9">
        <v>200</v>
      </c>
      <c r="H31" s="9">
        <v>210</v>
      </c>
      <c r="I31" s="9">
        <v>220</v>
      </c>
      <c r="J31" s="9">
        <v>230</v>
      </c>
      <c r="K31" s="6"/>
    </row>
    <row r="32" spans="1:11" ht="50.25" customHeight="1" x14ac:dyDescent="0.25">
      <c r="A32" s="8">
        <v>31</v>
      </c>
      <c r="B32" s="9" t="s">
        <v>314</v>
      </c>
      <c r="C32" s="9" t="s">
        <v>315</v>
      </c>
      <c r="D32" s="9" t="s">
        <v>261</v>
      </c>
      <c r="E32" s="10">
        <v>0.7</v>
      </c>
      <c r="F32" s="9">
        <v>20</v>
      </c>
      <c r="G32" s="9">
        <v>200</v>
      </c>
      <c r="H32" s="9">
        <v>210</v>
      </c>
      <c r="I32" s="9">
        <v>220</v>
      </c>
      <c r="J32" s="9">
        <v>230</v>
      </c>
      <c r="K32" s="6"/>
    </row>
    <row r="33" spans="1:11" ht="50.25" customHeight="1" x14ac:dyDescent="0.25">
      <c r="A33" s="8">
        <v>32</v>
      </c>
      <c r="B33" s="9" t="s">
        <v>316</v>
      </c>
      <c r="C33" s="9" t="s">
        <v>317</v>
      </c>
      <c r="D33" s="9" t="s">
        <v>261</v>
      </c>
      <c r="E33" s="10">
        <v>0.8</v>
      </c>
      <c r="F33" s="9">
        <v>20</v>
      </c>
      <c r="G33" s="9">
        <v>200</v>
      </c>
      <c r="H33" s="9">
        <v>210</v>
      </c>
      <c r="I33" s="9">
        <v>220</v>
      </c>
      <c r="J33" s="9">
        <v>230</v>
      </c>
      <c r="K33" s="6"/>
    </row>
    <row r="34" spans="1:11" ht="50.25" customHeight="1" x14ac:dyDescent="0.25">
      <c r="A34" s="8">
        <v>33</v>
      </c>
      <c r="B34" s="9" t="s">
        <v>318</v>
      </c>
      <c r="C34" s="9" t="s">
        <v>319</v>
      </c>
      <c r="D34" s="9" t="s">
        <v>258</v>
      </c>
      <c r="E34" s="10">
        <v>0.8</v>
      </c>
      <c r="F34" s="9">
        <v>20</v>
      </c>
      <c r="G34" s="9">
        <v>170</v>
      </c>
      <c r="H34" s="9">
        <v>180</v>
      </c>
      <c r="I34" s="9">
        <v>190</v>
      </c>
      <c r="J34" s="9">
        <v>230</v>
      </c>
      <c r="K34" s="6"/>
    </row>
    <row r="35" spans="1:11" ht="50.25" customHeight="1" x14ac:dyDescent="0.25">
      <c r="A35" s="8">
        <v>34</v>
      </c>
      <c r="B35" s="9" t="s">
        <v>320</v>
      </c>
      <c r="C35" s="9" t="s">
        <v>321</v>
      </c>
      <c r="D35" s="9" t="s">
        <v>261</v>
      </c>
      <c r="E35" s="10">
        <v>0.9</v>
      </c>
      <c r="F35" s="9">
        <v>20</v>
      </c>
      <c r="G35" s="9">
        <v>200</v>
      </c>
      <c r="H35" s="9">
        <v>210</v>
      </c>
      <c r="I35" s="9">
        <v>220</v>
      </c>
      <c r="J35" s="9">
        <v>230</v>
      </c>
      <c r="K35" s="6"/>
    </row>
    <row r="36" spans="1:11" ht="50.25" customHeight="1" x14ac:dyDescent="0.25">
      <c r="A36" s="8">
        <v>35</v>
      </c>
      <c r="B36" s="9" t="s">
        <v>322</v>
      </c>
      <c r="C36" s="9" t="s">
        <v>323</v>
      </c>
      <c r="D36" s="9" t="s">
        <v>258</v>
      </c>
      <c r="E36" s="10">
        <v>1</v>
      </c>
      <c r="F36" s="9">
        <v>20</v>
      </c>
      <c r="G36" s="9">
        <v>240</v>
      </c>
      <c r="H36" s="9">
        <v>250</v>
      </c>
      <c r="I36" s="9">
        <v>260</v>
      </c>
      <c r="J36" s="9">
        <v>300</v>
      </c>
      <c r="K36" s="6"/>
    </row>
    <row r="37" spans="1:11" ht="50.25" customHeight="1" x14ac:dyDescent="0.25">
      <c r="A37" s="8">
        <v>36</v>
      </c>
      <c r="B37" s="9" t="s">
        <v>324</v>
      </c>
      <c r="C37" s="9" t="s">
        <v>325</v>
      </c>
      <c r="D37" s="9" t="s">
        <v>261</v>
      </c>
      <c r="E37" s="10">
        <v>0.8</v>
      </c>
      <c r="F37" s="9">
        <v>20</v>
      </c>
      <c r="G37" s="9">
        <v>200</v>
      </c>
      <c r="H37" s="9">
        <v>210</v>
      </c>
      <c r="I37" s="9">
        <v>220</v>
      </c>
      <c r="J37" s="9">
        <v>230</v>
      </c>
      <c r="K37" s="6"/>
    </row>
    <row r="38" spans="1:11" ht="50.25" customHeight="1" x14ac:dyDescent="0.25">
      <c r="A38" s="8">
        <v>37</v>
      </c>
      <c r="B38" s="9" t="s">
        <v>326</v>
      </c>
      <c r="C38" s="9" t="s">
        <v>327</v>
      </c>
      <c r="D38" s="9" t="s">
        <v>261</v>
      </c>
      <c r="E38" s="10">
        <v>0.9</v>
      </c>
      <c r="F38" s="9">
        <v>20</v>
      </c>
      <c r="G38" s="9">
        <v>200</v>
      </c>
      <c r="H38" s="9">
        <v>210</v>
      </c>
      <c r="I38" s="9">
        <v>220</v>
      </c>
      <c r="J38" s="9">
        <v>230</v>
      </c>
      <c r="K38" s="6"/>
    </row>
    <row r="39" spans="1:11" ht="50.25" customHeight="1" x14ac:dyDescent="0.25">
      <c r="A39" s="8">
        <v>38</v>
      </c>
      <c r="B39" s="9" t="s">
        <v>328</v>
      </c>
      <c r="C39" s="9" t="s">
        <v>329</v>
      </c>
      <c r="D39" s="9" t="s">
        <v>258</v>
      </c>
      <c r="E39" s="10">
        <v>0.7</v>
      </c>
      <c r="F39" s="9">
        <v>20</v>
      </c>
      <c r="G39" s="9">
        <v>170</v>
      </c>
      <c r="H39" s="9">
        <v>180</v>
      </c>
      <c r="I39" s="9">
        <v>190</v>
      </c>
      <c r="J39" s="9">
        <v>230</v>
      </c>
      <c r="K39" s="6"/>
    </row>
    <row r="40" spans="1:11" ht="50.25" customHeight="1" x14ac:dyDescent="0.25">
      <c r="A40" s="8">
        <v>39</v>
      </c>
      <c r="B40" s="9" t="s">
        <v>330</v>
      </c>
      <c r="C40" s="9" t="s">
        <v>331</v>
      </c>
      <c r="D40" s="9" t="s">
        <v>258</v>
      </c>
      <c r="E40" s="10">
        <v>0.7</v>
      </c>
      <c r="F40" s="9">
        <v>20</v>
      </c>
      <c r="G40" s="9">
        <v>170</v>
      </c>
      <c r="H40" s="9">
        <v>180</v>
      </c>
      <c r="I40" s="9">
        <v>190</v>
      </c>
      <c r="J40" s="9">
        <v>230</v>
      </c>
      <c r="K40" s="6"/>
    </row>
    <row r="41" spans="1:11" ht="50.25" customHeight="1" x14ac:dyDescent="0.25">
      <c r="A41" s="8">
        <v>40</v>
      </c>
      <c r="B41" s="9" t="s">
        <v>332</v>
      </c>
      <c r="C41" s="9" t="s">
        <v>333</v>
      </c>
      <c r="D41" s="9" t="s">
        <v>261</v>
      </c>
      <c r="E41" s="10">
        <v>0.7</v>
      </c>
      <c r="F41" s="9">
        <v>20</v>
      </c>
      <c r="G41" s="9">
        <v>200</v>
      </c>
      <c r="H41" s="9">
        <v>210</v>
      </c>
      <c r="I41" s="9">
        <v>220</v>
      </c>
      <c r="J41" s="9">
        <v>230</v>
      </c>
      <c r="K41" s="6"/>
    </row>
    <row r="42" spans="1:11" ht="50.25" customHeight="1" x14ac:dyDescent="0.25">
      <c r="A42" s="8">
        <v>41</v>
      </c>
      <c r="B42" s="9" t="s">
        <v>334</v>
      </c>
      <c r="C42" s="9" t="s">
        <v>335</v>
      </c>
      <c r="D42" s="9" t="s">
        <v>261</v>
      </c>
      <c r="E42" s="10">
        <v>0.8</v>
      </c>
      <c r="F42" s="9">
        <v>20</v>
      </c>
      <c r="G42" s="9">
        <v>200</v>
      </c>
      <c r="H42" s="9">
        <v>210</v>
      </c>
      <c r="I42" s="9">
        <v>220</v>
      </c>
      <c r="J42" s="9">
        <v>230</v>
      </c>
      <c r="K42" s="6"/>
    </row>
    <row r="43" spans="1:11" ht="50.25" customHeight="1" x14ac:dyDescent="0.25">
      <c r="A43" s="8">
        <v>42</v>
      </c>
      <c r="B43" s="9" t="s">
        <v>336</v>
      </c>
      <c r="C43" s="9" t="s">
        <v>337</v>
      </c>
      <c r="D43" s="9" t="s">
        <v>258</v>
      </c>
      <c r="E43" s="10">
        <v>0.7</v>
      </c>
      <c r="F43" s="9">
        <v>20</v>
      </c>
      <c r="G43" s="9">
        <v>170</v>
      </c>
      <c r="H43" s="9">
        <v>180</v>
      </c>
      <c r="I43" s="9">
        <v>190</v>
      </c>
      <c r="J43" s="9">
        <v>230</v>
      </c>
      <c r="K43" s="6"/>
    </row>
    <row r="44" spans="1:11" ht="50.25" customHeight="1" x14ac:dyDescent="0.25">
      <c r="A44" s="8">
        <v>43</v>
      </c>
      <c r="B44" s="9" t="s">
        <v>338</v>
      </c>
      <c r="C44" s="9" t="s">
        <v>339</v>
      </c>
      <c r="D44" s="9" t="s">
        <v>258</v>
      </c>
      <c r="E44" s="10">
        <v>0.6</v>
      </c>
      <c r="F44" s="9">
        <v>20</v>
      </c>
      <c r="G44" s="9">
        <v>100</v>
      </c>
      <c r="H44" s="9">
        <v>110</v>
      </c>
      <c r="I44" s="9">
        <v>120</v>
      </c>
      <c r="J44" s="9">
        <v>160</v>
      </c>
      <c r="K44" s="6"/>
    </row>
    <row r="45" spans="1:11" ht="50.25" customHeight="1" x14ac:dyDescent="0.25">
      <c r="A45" s="8">
        <v>44</v>
      </c>
      <c r="B45" s="9" t="s">
        <v>340</v>
      </c>
      <c r="C45" s="9" t="s">
        <v>341</v>
      </c>
      <c r="D45" s="9" t="s">
        <v>261</v>
      </c>
      <c r="E45" s="10">
        <v>0.7</v>
      </c>
      <c r="F45" s="9">
        <v>20</v>
      </c>
      <c r="G45" s="9">
        <v>200</v>
      </c>
      <c r="H45" s="9">
        <v>210</v>
      </c>
      <c r="I45" s="9">
        <v>220</v>
      </c>
      <c r="J45" s="9">
        <v>230</v>
      </c>
      <c r="K45" s="6"/>
    </row>
    <row r="46" spans="1:11" ht="79.5" customHeight="1" x14ac:dyDescent="0.25">
      <c r="A46" s="8">
        <v>45</v>
      </c>
      <c r="B46" s="9" t="s">
        <v>342</v>
      </c>
      <c r="C46" s="9" t="s">
        <v>343</v>
      </c>
      <c r="D46" s="9" t="s">
        <v>258</v>
      </c>
      <c r="E46" s="10">
        <v>0.9</v>
      </c>
      <c r="F46" s="9">
        <v>20</v>
      </c>
      <c r="G46" s="9">
        <v>170</v>
      </c>
      <c r="H46" s="9">
        <v>180</v>
      </c>
      <c r="I46" s="9">
        <v>190</v>
      </c>
      <c r="J46" s="9">
        <v>230</v>
      </c>
      <c r="K46" s="6"/>
    </row>
    <row r="47" spans="1:11" ht="50.25" customHeight="1" x14ac:dyDescent="0.25">
      <c r="A47" s="8">
        <v>47</v>
      </c>
      <c r="B47" s="9" t="s">
        <v>344</v>
      </c>
      <c r="C47" s="9" t="s">
        <v>345</v>
      </c>
      <c r="D47" s="9" t="s">
        <v>261</v>
      </c>
      <c r="E47" s="10">
        <v>0.8</v>
      </c>
      <c r="F47" s="9">
        <v>20</v>
      </c>
      <c r="G47" s="9">
        <v>200</v>
      </c>
      <c r="H47" s="9">
        <v>210</v>
      </c>
      <c r="I47" s="9">
        <v>220</v>
      </c>
      <c r="J47" s="9">
        <v>230</v>
      </c>
      <c r="K47" s="6"/>
    </row>
    <row r="48" spans="1:11" ht="50.25" customHeight="1" x14ac:dyDescent="0.25">
      <c r="A48" s="8">
        <v>48</v>
      </c>
      <c r="B48" s="9" t="s">
        <v>346</v>
      </c>
      <c r="C48" s="9" t="s">
        <v>347</v>
      </c>
      <c r="D48" s="9" t="s">
        <v>261</v>
      </c>
      <c r="E48" s="10">
        <v>0.9</v>
      </c>
      <c r="F48" s="9">
        <v>20</v>
      </c>
      <c r="G48" s="9">
        <v>200</v>
      </c>
      <c r="H48" s="9">
        <v>210</v>
      </c>
      <c r="I48" s="9">
        <v>220</v>
      </c>
      <c r="J48" s="9">
        <v>230</v>
      </c>
      <c r="K48" s="6"/>
    </row>
    <row r="49" spans="1:11" ht="50.25" customHeight="1" x14ac:dyDescent="0.25">
      <c r="A49" s="8">
        <v>49</v>
      </c>
      <c r="B49" s="9" t="s">
        <v>142</v>
      </c>
      <c r="C49" s="9" t="s">
        <v>143</v>
      </c>
      <c r="D49" s="9" t="s">
        <v>261</v>
      </c>
      <c r="E49" s="10">
        <v>0.8</v>
      </c>
      <c r="F49" s="9">
        <v>20</v>
      </c>
      <c r="G49" s="9">
        <v>200</v>
      </c>
      <c r="H49" s="9">
        <v>210</v>
      </c>
      <c r="I49" s="9">
        <v>220</v>
      </c>
      <c r="J49" s="9">
        <v>230</v>
      </c>
      <c r="K49" s="6"/>
    </row>
    <row r="50" spans="1:11" ht="50.25" customHeight="1" x14ac:dyDescent="0.25">
      <c r="A50" s="8">
        <v>50</v>
      </c>
      <c r="B50" s="9" t="s">
        <v>348</v>
      </c>
      <c r="C50" s="9" t="s">
        <v>349</v>
      </c>
      <c r="D50" s="9" t="s">
        <v>261</v>
      </c>
      <c r="E50" s="10">
        <v>0.9</v>
      </c>
      <c r="F50" s="9">
        <v>20</v>
      </c>
      <c r="G50" s="9">
        <v>200</v>
      </c>
      <c r="H50" s="9">
        <v>210</v>
      </c>
      <c r="I50" s="9">
        <v>220</v>
      </c>
      <c r="J50" s="9">
        <v>230</v>
      </c>
      <c r="K50" s="6"/>
    </row>
    <row r="51" spans="1:11" ht="50.25" customHeight="1" x14ac:dyDescent="0.25">
      <c r="A51" s="8">
        <v>51</v>
      </c>
      <c r="B51" s="9" t="s">
        <v>350</v>
      </c>
      <c r="C51" s="9" t="s">
        <v>351</v>
      </c>
      <c r="D51" s="9" t="s">
        <v>261</v>
      </c>
      <c r="E51" s="10">
        <v>0.3</v>
      </c>
      <c r="F51" s="9">
        <v>20</v>
      </c>
      <c r="G51" s="9">
        <v>60</v>
      </c>
      <c r="H51" s="9">
        <v>70</v>
      </c>
      <c r="I51" s="9">
        <v>80</v>
      </c>
      <c r="J51" s="9">
        <v>90</v>
      </c>
      <c r="K51" s="6"/>
    </row>
    <row r="52" spans="1:11" ht="50.25" customHeight="1" x14ac:dyDescent="0.25">
      <c r="A52" s="11"/>
      <c r="B52" s="11"/>
      <c r="C52" s="11"/>
      <c r="D52" s="11"/>
      <c r="E52" s="11"/>
      <c r="F52" s="6"/>
      <c r="G52" s="6"/>
      <c r="H52" s="6"/>
      <c r="I52" s="6"/>
      <c r="J52" s="6"/>
      <c r="K52" s="6"/>
    </row>
    <row r="53" spans="1:11" ht="50.25" customHeight="1" x14ac:dyDescent="0.25">
      <c r="A53" s="11"/>
      <c r="B53" s="11"/>
      <c r="C53" s="11"/>
      <c r="D53" s="11"/>
      <c r="E53" s="11"/>
      <c r="F53" s="6"/>
      <c r="G53" s="6"/>
      <c r="H53" s="6"/>
      <c r="I53" s="6"/>
      <c r="J53" s="6"/>
      <c r="K53" s="6"/>
    </row>
    <row r="54" spans="1:11" ht="50.25" customHeight="1" x14ac:dyDescent="0.25">
      <c r="A54" s="11"/>
      <c r="B54" s="11"/>
      <c r="C54" s="11"/>
      <c r="D54" s="11"/>
      <c r="E54" s="11"/>
      <c r="F54" s="6"/>
      <c r="G54" s="288" t="s">
        <v>352</v>
      </c>
      <c r="H54" s="289"/>
      <c r="I54" s="290"/>
      <c r="J54" s="24">
        <v>3210</v>
      </c>
      <c r="K54" s="24" t="s">
        <v>353</v>
      </c>
    </row>
    <row r="55" spans="1:11" ht="50.25" customHeight="1" x14ac:dyDescent="0.25">
      <c r="A55" s="11"/>
      <c r="B55" s="11"/>
      <c r="C55" s="11"/>
      <c r="D55" s="11"/>
      <c r="E55" s="11"/>
      <c r="F55" s="6"/>
      <c r="G55" s="288" t="s">
        <v>354</v>
      </c>
      <c r="H55" s="289"/>
      <c r="I55" s="290"/>
      <c r="J55" s="12">
        <v>1840</v>
      </c>
      <c r="K55" s="12" t="s">
        <v>355</v>
      </c>
    </row>
    <row r="56" spans="1:11" ht="50.25" customHeight="1" x14ac:dyDescent="0.25">
      <c r="A56" s="11"/>
      <c r="B56" s="11"/>
      <c r="C56" s="11"/>
      <c r="D56" s="11"/>
      <c r="E56" s="11"/>
      <c r="F56" s="6"/>
      <c r="G56" s="288" t="s">
        <v>356</v>
      </c>
      <c r="H56" s="289"/>
      <c r="I56" s="290"/>
      <c r="J56" s="12">
        <v>4600</v>
      </c>
      <c r="K56" s="12" t="s">
        <v>357</v>
      </c>
    </row>
    <row r="57" spans="1:11" ht="50.25" customHeight="1" x14ac:dyDescent="0.25">
      <c r="A57" s="11"/>
      <c r="B57" s="11"/>
      <c r="C57" s="11"/>
      <c r="D57" s="11"/>
      <c r="E57" s="11"/>
      <c r="F57" s="6"/>
      <c r="G57" s="288" t="s">
        <v>358</v>
      </c>
      <c r="H57" s="289"/>
      <c r="I57" s="290"/>
      <c r="J57" s="12">
        <v>1010</v>
      </c>
      <c r="K57" s="12" t="s">
        <v>359</v>
      </c>
    </row>
    <row r="58" spans="1:11" ht="50.25" customHeight="1" x14ac:dyDescent="0.25">
      <c r="J58" s="2">
        <f>SUM(J54:J57)</f>
        <v>10660</v>
      </c>
    </row>
    <row r="59" spans="1:11" ht="50.25" customHeight="1" x14ac:dyDescent="0.25">
      <c r="G59" s="282" t="s">
        <v>360</v>
      </c>
      <c r="H59" s="283"/>
      <c r="I59" s="291" t="s">
        <v>361</v>
      </c>
      <c r="J59" s="283"/>
    </row>
    <row r="60" spans="1:11" ht="50.25" customHeight="1" x14ac:dyDescent="0.25">
      <c r="G60" s="282" t="s">
        <v>362</v>
      </c>
      <c r="H60" s="283"/>
      <c r="I60" s="286" t="s">
        <v>363</v>
      </c>
      <c r="J60" s="287"/>
    </row>
    <row r="61" spans="1:11" ht="50.25" customHeight="1" x14ac:dyDescent="0.25">
      <c r="G61" s="282" t="s">
        <v>364</v>
      </c>
      <c r="H61" s="283"/>
      <c r="I61" s="286" t="s">
        <v>365</v>
      </c>
      <c r="J61" s="287"/>
    </row>
    <row r="62" spans="1:11" ht="50.25" customHeight="1" x14ac:dyDescent="0.25">
      <c r="G62" s="282" t="s">
        <v>366</v>
      </c>
      <c r="H62" s="283"/>
      <c r="I62" s="286" t="s">
        <v>367</v>
      </c>
      <c r="J62" s="287"/>
    </row>
    <row r="63" spans="1:11" ht="50.25" customHeight="1" x14ac:dyDescent="0.25">
      <c r="G63" s="282" t="s">
        <v>368</v>
      </c>
      <c r="H63" s="283"/>
      <c r="I63" s="284" t="s">
        <v>369</v>
      </c>
      <c r="J63" s="285"/>
    </row>
    <row r="64" spans="1:11" ht="50.25" customHeight="1" x14ac:dyDescent="0.25">
      <c r="G64" s="282" t="s">
        <v>370</v>
      </c>
      <c r="H64" s="283"/>
      <c r="I64" s="286" t="s">
        <v>371</v>
      </c>
      <c r="J64" s="287"/>
    </row>
  </sheetData>
  <mergeCells count="16">
    <mergeCell ref="G54:I54"/>
    <mergeCell ref="G55:I55"/>
    <mergeCell ref="G56:I56"/>
    <mergeCell ref="G57:I57"/>
    <mergeCell ref="G59:H59"/>
    <mergeCell ref="I59:J59"/>
    <mergeCell ref="G63:H63"/>
    <mergeCell ref="I63:J63"/>
    <mergeCell ref="G64:H64"/>
    <mergeCell ref="I64:J64"/>
    <mergeCell ref="G60:H60"/>
    <mergeCell ref="I60:J60"/>
    <mergeCell ref="G61:H61"/>
    <mergeCell ref="I61:J61"/>
    <mergeCell ref="G62:H62"/>
    <mergeCell ref="I62:J6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2"/>
  <sheetViews>
    <sheetView zoomScale="70" zoomScaleNormal="70" workbookViewId="0">
      <selection activeCell="Q3" sqref="Q3"/>
    </sheetView>
  </sheetViews>
  <sheetFormatPr baseColWidth="10" defaultColWidth="12.625" defaultRowHeight="113.25" customHeight="1" x14ac:dyDescent="0.25"/>
  <cols>
    <col min="1" max="2" width="12.625" style="7"/>
    <col min="3" max="3" width="48.625" style="7" customWidth="1"/>
    <col min="4" max="10" width="12.625" style="7"/>
    <col min="11" max="11" width="31.5" style="7" customWidth="1"/>
    <col min="12" max="16" width="12.625" style="7"/>
    <col min="17" max="17" width="28.75" style="7" customWidth="1"/>
    <col min="18" max="18" width="22.625" style="7" customWidth="1"/>
    <col min="19" max="22" width="12.625" style="7"/>
    <col min="23" max="23" width="33" style="7" customWidth="1"/>
    <col min="24" max="16384" width="12.625" style="7"/>
  </cols>
  <sheetData>
    <row r="1" spans="1:24" ht="53.25" customHeight="1" x14ac:dyDescent="0.25">
      <c r="A1" s="3" t="s">
        <v>248</v>
      </c>
      <c r="B1" s="4" t="s">
        <v>249</v>
      </c>
      <c r="C1" s="4" t="s">
        <v>250</v>
      </c>
      <c r="D1" s="21" t="s">
        <v>372</v>
      </c>
      <c r="E1" s="22" t="s">
        <v>373</v>
      </c>
      <c r="F1" s="5" t="s">
        <v>374</v>
      </c>
      <c r="G1" s="11"/>
      <c r="H1" s="11"/>
      <c r="I1" s="3" t="s">
        <v>248</v>
      </c>
      <c r="J1" s="4" t="s">
        <v>249</v>
      </c>
      <c r="K1" s="4" t="s">
        <v>250</v>
      </c>
      <c r="L1" s="21" t="s">
        <v>372</v>
      </c>
      <c r="M1" s="11"/>
      <c r="N1" s="11"/>
      <c r="O1" s="3" t="s">
        <v>248</v>
      </c>
      <c r="P1" s="4" t="s">
        <v>249</v>
      </c>
      <c r="Q1" s="4" t="s">
        <v>250</v>
      </c>
      <c r="R1" s="22" t="s">
        <v>373</v>
      </c>
      <c r="S1" s="11"/>
      <c r="T1" s="11"/>
      <c r="U1" s="3" t="s">
        <v>248</v>
      </c>
      <c r="V1" s="4" t="s">
        <v>249</v>
      </c>
      <c r="W1" s="4" t="s">
        <v>250</v>
      </c>
      <c r="X1" s="5" t="s">
        <v>374</v>
      </c>
    </row>
    <row r="2" spans="1:24" ht="113.25" customHeight="1" x14ac:dyDescent="0.25">
      <c r="A2" s="8">
        <v>1</v>
      </c>
      <c r="B2" s="9" t="s">
        <v>124</v>
      </c>
      <c r="C2" s="9" t="s">
        <v>125</v>
      </c>
      <c r="D2" s="9">
        <v>2</v>
      </c>
      <c r="E2" s="9">
        <v>5</v>
      </c>
      <c r="F2" s="9">
        <v>2</v>
      </c>
      <c r="G2" s="11"/>
      <c r="H2" s="11"/>
      <c r="I2" s="8">
        <v>19</v>
      </c>
      <c r="J2" s="9" t="s">
        <v>292</v>
      </c>
      <c r="K2" s="9" t="s">
        <v>293</v>
      </c>
      <c r="L2" s="9">
        <v>10</v>
      </c>
      <c r="M2" s="11"/>
      <c r="N2" s="11"/>
      <c r="O2" s="8">
        <v>18</v>
      </c>
      <c r="P2" s="9" t="s">
        <v>291</v>
      </c>
      <c r="Q2" s="9" t="s">
        <v>134</v>
      </c>
      <c r="R2" s="9">
        <v>10</v>
      </c>
      <c r="S2" s="11"/>
      <c r="T2" s="11"/>
      <c r="U2" s="8">
        <v>19</v>
      </c>
      <c r="V2" s="9" t="s">
        <v>292</v>
      </c>
      <c r="W2" s="9" t="s">
        <v>293</v>
      </c>
      <c r="X2" s="9">
        <v>10</v>
      </c>
    </row>
    <row r="3" spans="1:24" ht="113.25" customHeight="1" x14ac:dyDescent="0.25">
      <c r="A3" s="8">
        <v>2</v>
      </c>
      <c r="B3" s="9" t="s">
        <v>259</v>
      </c>
      <c r="C3" s="9" t="s">
        <v>260</v>
      </c>
      <c r="D3" s="9">
        <v>5.33</v>
      </c>
      <c r="E3" s="9">
        <v>8</v>
      </c>
      <c r="F3" s="9">
        <v>5.33</v>
      </c>
      <c r="G3" s="11"/>
      <c r="H3" s="11"/>
      <c r="I3" s="8">
        <v>35</v>
      </c>
      <c r="J3" s="9" t="s">
        <v>322</v>
      </c>
      <c r="K3" s="9" t="s">
        <v>323</v>
      </c>
      <c r="L3" s="9">
        <v>10</v>
      </c>
      <c r="M3" s="11"/>
      <c r="N3" s="11"/>
      <c r="O3" s="8">
        <v>21</v>
      </c>
      <c r="P3" s="9" t="s">
        <v>296</v>
      </c>
      <c r="Q3" s="9" t="s">
        <v>297</v>
      </c>
      <c r="R3" s="9">
        <v>10</v>
      </c>
      <c r="S3" s="11"/>
      <c r="T3" s="11"/>
      <c r="U3" s="8">
        <v>21</v>
      </c>
      <c r="V3" s="9" t="s">
        <v>296</v>
      </c>
      <c r="W3" s="9" t="s">
        <v>297</v>
      </c>
      <c r="X3" s="9">
        <v>10</v>
      </c>
    </row>
    <row r="4" spans="1:24" ht="113.25" customHeight="1" x14ac:dyDescent="0.25">
      <c r="A4" s="8">
        <v>3</v>
      </c>
      <c r="B4" s="9" t="s">
        <v>262</v>
      </c>
      <c r="C4" s="9" t="s">
        <v>263</v>
      </c>
      <c r="D4" s="9">
        <v>5.33</v>
      </c>
      <c r="E4" s="9">
        <v>8</v>
      </c>
      <c r="F4" s="9">
        <v>5.33</v>
      </c>
      <c r="G4" s="11"/>
      <c r="H4" s="11"/>
      <c r="I4" s="8">
        <v>34</v>
      </c>
      <c r="J4" s="9" t="s">
        <v>320</v>
      </c>
      <c r="K4" s="9" t="s">
        <v>321</v>
      </c>
      <c r="L4" s="9">
        <v>10</v>
      </c>
      <c r="M4" s="11"/>
      <c r="N4" s="11"/>
      <c r="O4" s="8">
        <v>20</v>
      </c>
      <c r="P4" s="9" t="s">
        <v>294</v>
      </c>
      <c r="Q4" s="9" t="s">
        <v>295</v>
      </c>
      <c r="R4" s="9">
        <v>9.75</v>
      </c>
      <c r="S4" s="11"/>
      <c r="T4" s="11"/>
      <c r="U4" s="8">
        <v>20</v>
      </c>
      <c r="V4" s="9" t="s">
        <v>294</v>
      </c>
      <c r="W4" s="9" t="s">
        <v>295</v>
      </c>
      <c r="X4" s="9">
        <v>9.75</v>
      </c>
    </row>
    <row r="5" spans="1:24" ht="113.25" customHeight="1" x14ac:dyDescent="0.25">
      <c r="A5" s="8">
        <v>4</v>
      </c>
      <c r="B5" s="9" t="s">
        <v>264</v>
      </c>
      <c r="C5" s="9" t="s">
        <v>265</v>
      </c>
      <c r="D5" s="9">
        <v>8.67</v>
      </c>
      <c r="E5" s="9">
        <v>8.33</v>
      </c>
      <c r="F5" s="9">
        <v>8.67</v>
      </c>
      <c r="G5" s="11"/>
      <c r="H5" s="11"/>
      <c r="I5" s="8">
        <v>21</v>
      </c>
      <c r="J5" s="9" t="s">
        <v>296</v>
      </c>
      <c r="K5" s="9" t="s">
        <v>297</v>
      </c>
      <c r="L5" s="9">
        <v>9.75</v>
      </c>
      <c r="M5" s="11"/>
      <c r="N5" s="11"/>
      <c r="O5" s="8">
        <v>19</v>
      </c>
      <c r="P5" s="9" t="s">
        <v>292</v>
      </c>
      <c r="Q5" s="9" t="s">
        <v>293</v>
      </c>
      <c r="R5" s="9">
        <v>9.67</v>
      </c>
      <c r="S5" s="11"/>
      <c r="T5" s="11"/>
      <c r="U5" s="8">
        <v>18</v>
      </c>
      <c r="V5" s="9" t="s">
        <v>291</v>
      </c>
      <c r="W5" s="9" t="s">
        <v>134</v>
      </c>
      <c r="X5" s="9">
        <v>9.67</v>
      </c>
    </row>
    <row r="6" spans="1:24" ht="113.25" customHeight="1" x14ac:dyDescent="0.25">
      <c r="A6" s="8">
        <v>5</v>
      </c>
      <c r="B6" s="9" t="s">
        <v>266</v>
      </c>
      <c r="C6" s="9" t="s">
        <v>267</v>
      </c>
      <c r="D6" s="9">
        <v>8</v>
      </c>
      <c r="E6" s="9">
        <v>8</v>
      </c>
      <c r="F6" s="9">
        <v>8</v>
      </c>
      <c r="G6" s="11"/>
      <c r="H6" s="11"/>
      <c r="I6" s="8">
        <v>20</v>
      </c>
      <c r="J6" s="9" t="s">
        <v>294</v>
      </c>
      <c r="K6" s="9" t="s">
        <v>295</v>
      </c>
      <c r="L6" s="9">
        <v>9.75</v>
      </c>
      <c r="M6" s="11"/>
      <c r="N6" s="11"/>
      <c r="O6" s="8">
        <v>23</v>
      </c>
      <c r="P6" s="9" t="s">
        <v>300</v>
      </c>
      <c r="Q6" s="9" t="s">
        <v>301</v>
      </c>
      <c r="R6" s="9">
        <v>9.67</v>
      </c>
      <c r="S6" s="11"/>
      <c r="T6" s="11"/>
      <c r="U6" s="8">
        <v>45</v>
      </c>
      <c r="V6" s="9" t="s">
        <v>342</v>
      </c>
      <c r="W6" s="9" t="s">
        <v>343</v>
      </c>
      <c r="X6" s="9">
        <v>9.4</v>
      </c>
    </row>
    <row r="7" spans="1:24" ht="113.25" customHeight="1" x14ac:dyDescent="0.25">
      <c r="A7" s="8">
        <v>6</v>
      </c>
      <c r="B7" s="9" t="s">
        <v>268</v>
      </c>
      <c r="C7" s="9" t="s">
        <v>269</v>
      </c>
      <c r="D7" s="9">
        <v>6.8</v>
      </c>
      <c r="E7" s="9">
        <v>7.6</v>
      </c>
      <c r="F7" s="9">
        <v>7.6</v>
      </c>
      <c r="G7" s="11"/>
      <c r="H7" s="11"/>
      <c r="I7" s="8">
        <v>37</v>
      </c>
      <c r="J7" s="9" t="s">
        <v>326</v>
      </c>
      <c r="K7" s="9" t="s">
        <v>327</v>
      </c>
      <c r="L7" s="9">
        <v>9.25</v>
      </c>
      <c r="M7" s="11"/>
      <c r="N7" s="11"/>
      <c r="O7" s="8">
        <v>45</v>
      </c>
      <c r="P7" s="9" t="s">
        <v>342</v>
      </c>
      <c r="Q7" s="9" t="s">
        <v>343</v>
      </c>
      <c r="R7" s="9">
        <v>9.6</v>
      </c>
      <c r="S7" s="11"/>
      <c r="T7" s="11"/>
      <c r="U7" s="8">
        <v>35</v>
      </c>
      <c r="V7" s="9" t="s">
        <v>322</v>
      </c>
      <c r="W7" s="9" t="s">
        <v>323</v>
      </c>
      <c r="X7" s="9">
        <v>9</v>
      </c>
    </row>
    <row r="8" spans="1:24" ht="113.25" customHeight="1" x14ac:dyDescent="0.25">
      <c r="A8" s="8">
        <v>7</v>
      </c>
      <c r="B8" s="9" t="s">
        <v>270</v>
      </c>
      <c r="C8" s="9" t="s">
        <v>271</v>
      </c>
      <c r="D8" s="9">
        <v>7.75</v>
      </c>
      <c r="E8" s="9">
        <v>7.8</v>
      </c>
      <c r="F8" s="9">
        <v>8</v>
      </c>
      <c r="G8" s="11"/>
      <c r="H8" s="11"/>
      <c r="I8" s="8">
        <v>18</v>
      </c>
      <c r="J8" s="9" t="s">
        <v>291</v>
      </c>
      <c r="K8" s="9" t="s">
        <v>134</v>
      </c>
      <c r="L8" s="9">
        <v>9</v>
      </c>
      <c r="M8" s="11"/>
      <c r="N8" s="11"/>
      <c r="O8" s="8">
        <v>17</v>
      </c>
      <c r="P8" s="9" t="s">
        <v>133</v>
      </c>
      <c r="Q8" s="9" t="s">
        <v>290</v>
      </c>
      <c r="R8" s="9">
        <v>9.33</v>
      </c>
      <c r="S8" s="11"/>
      <c r="T8" s="11"/>
      <c r="U8" s="8">
        <v>47</v>
      </c>
      <c r="V8" s="9" t="s">
        <v>344</v>
      </c>
      <c r="W8" s="9" t="s">
        <v>345</v>
      </c>
      <c r="X8" s="9">
        <v>9</v>
      </c>
    </row>
    <row r="9" spans="1:24" ht="113.25" customHeight="1" x14ac:dyDescent="0.25">
      <c r="A9" s="8">
        <v>8</v>
      </c>
      <c r="B9" s="9" t="s">
        <v>272</v>
      </c>
      <c r="C9" s="9" t="s">
        <v>273</v>
      </c>
      <c r="D9" s="9">
        <v>7.2</v>
      </c>
      <c r="E9" s="9">
        <v>8.6</v>
      </c>
      <c r="F9" s="9">
        <v>8.1999999999999993</v>
      </c>
      <c r="G9" s="11"/>
      <c r="H9" s="11"/>
      <c r="I9" s="8">
        <v>47</v>
      </c>
      <c r="J9" s="9" t="s">
        <v>344</v>
      </c>
      <c r="K9" s="9" t="s">
        <v>345</v>
      </c>
      <c r="L9" s="9">
        <v>9</v>
      </c>
      <c r="M9" s="11"/>
      <c r="N9" s="11"/>
      <c r="O9" s="8">
        <v>22</v>
      </c>
      <c r="P9" s="9" t="s">
        <v>298</v>
      </c>
      <c r="Q9" s="9" t="s">
        <v>299</v>
      </c>
      <c r="R9" s="9">
        <v>9.33</v>
      </c>
      <c r="S9" s="11"/>
      <c r="T9" s="11"/>
      <c r="U9" s="8">
        <v>49</v>
      </c>
      <c r="V9" s="9" t="s">
        <v>142</v>
      </c>
      <c r="W9" s="9" t="s">
        <v>143</v>
      </c>
      <c r="X9" s="9">
        <v>9</v>
      </c>
    </row>
    <row r="10" spans="1:24" ht="113.25" customHeight="1" x14ac:dyDescent="0.25">
      <c r="A10" s="8">
        <v>9</v>
      </c>
      <c r="B10" s="9" t="s">
        <v>274</v>
      </c>
      <c r="C10" s="9" t="s">
        <v>275</v>
      </c>
      <c r="D10" s="9">
        <v>6.2</v>
      </c>
      <c r="E10" s="9">
        <v>8.6</v>
      </c>
      <c r="F10" s="9">
        <v>7.8</v>
      </c>
      <c r="G10" s="11"/>
      <c r="H10" s="11"/>
      <c r="I10" s="8">
        <v>49</v>
      </c>
      <c r="J10" s="9" t="s">
        <v>142</v>
      </c>
      <c r="K10" s="9" t="s">
        <v>143</v>
      </c>
      <c r="L10" s="9">
        <v>9</v>
      </c>
      <c r="M10" s="11"/>
      <c r="N10" s="11"/>
      <c r="O10" s="8">
        <v>37</v>
      </c>
      <c r="P10" s="9" t="s">
        <v>326</v>
      </c>
      <c r="Q10" s="9" t="s">
        <v>327</v>
      </c>
      <c r="R10" s="9">
        <v>9.25</v>
      </c>
      <c r="S10" s="11"/>
      <c r="T10" s="11"/>
      <c r="U10" s="8">
        <v>50</v>
      </c>
      <c r="V10" s="9" t="s">
        <v>348</v>
      </c>
      <c r="W10" s="9" t="s">
        <v>349</v>
      </c>
      <c r="X10" s="9">
        <v>9</v>
      </c>
    </row>
    <row r="11" spans="1:24" ht="113.25" customHeight="1" x14ac:dyDescent="0.25">
      <c r="A11" s="8">
        <v>10</v>
      </c>
      <c r="B11" s="9" t="s">
        <v>276</v>
      </c>
      <c r="C11" s="9" t="s">
        <v>277</v>
      </c>
      <c r="D11" s="9">
        <v>8.75</v>
      </c>
      <c r="E11" s="9">
        <v>8.75</v>
      </c>
      <c r="F11" s="9">
        <v>8.75</v>
      </c>
      <c r="G11" s="11"/>
      <c r="H11" s="11"/>
      <c r="I11" s="8">
        <v>32</v>
      </c>
      <c r="J11" s="9" t="s">
        <v>316</v>
      </c>
      <c r="K11" s="9" t="s">
        <v>317</v>
      </c>
      <c r="L11" s="9">
        <v>9</v>
      </c>
      <c r="M11" s="11"/>
      <c r="N11" s="11"/>
      <c r="O11" s="8">
        <v>47</v>
      </c>
      <c r="P11" s="9" t="s">
        <v>344</v>
      </c>
      <c r="Q11" s="9" t="s">
        <v>345</v>
      </c>
      <c r="R11" s="9">
        <v>9</v>
      </c>
      <c r="S11" s="11"/>
      <c r="T11" s="11"/>
      <c r="U11" s="8">
        <v>48</v>
      </c>
      <c r="V11" s="9" t="s">
        <v>346</v>
      </c>
      <c r="W11" s="9" t="s">
        <v>347</v>
      </c>
      <c r="X11" s="9">
        <v>9</v>
      </c>
    </row>
    <row r="12" spans="1:24" ht="113.25" customHeight="1" x14ac:dyDescent="0.25">
      <c r="A12" s="8">
        <v>11</v>
      </c>
      <c r="B12" s="9" t="s">
        <v>278</v>
      </c>
      <c r="C12" s="9" t="s">
        <v>279</v>
      </c>
      <c r="D12" s="9">
        <v>6</v>
      </c>
      <c r="E12" s="9">
        <v>5.5</v>
      </c>
      <c r="F12" s="9">
        <v>6</v>
      </c>
      <c r="G12" s="11"/>
      <c r="H12" s="11"/>
      <c r="I12" s="8">
        <v>38</v>
      </c>
      <c r="J12" s="9" t="s">
        <v>328</v>
      </c>
      <c r="K12" s="9" t="s">
        <v>329</v>
      </c>
      <c r="L12" s="9">
        <v>9</v>
      </c>
      <c r="M12" s="11"/>
      <c r="N12" s="11"/>
      <c r="O12" s="8">
        <v>48</v>
      </c>
      <c r="P12" s="9" t="s">
        <v>346</v>
      </c>
      <c r="Q12" s="9" t="s">
        <v>347</v>
      </c>
      <c r="R12" s="9">
        <v>9</v>
      </c>
      <c r="S12" s="11"/>
      <c r="T12" s="11"/>
      <c r="U12" s="8">
        <v>37</v>
      </c>
      <c r="V12" s="9" t="s">
        <v>326</v>
      </c>
      <c r="W12" s="9" t="s">
        <v>327</v>
      </c>
      <c r="X12" s="9">
        <v>8.75</v>
      </c>
    </row>
    <row r="13" spans="1:24" ht="113.25" customHeight="1" x14ac:dyDescent="0.25">
      <c r="A13" s="8">
        <v>12</v>
      </c>
      <c r="B13" s="9" t="s">
        <v>280</v>
      </c>
      <c r="C13" s="9" t="s">
        <v>281</v>
      </c>
      <c r="D13" s="9">
        <v>4.25</v>
      </c>
      <c r="E13" s="9">
        <v>4</v>
      </c>
      <c r="F13" s="9">
        <v>4.25</v>
      </c>
      <c r="G13" s="11"/>
      <c r="H13" s="11"/>
      <c r="I13" s="8">
        <v>44</v>
      </c>
      <c r="J13" s="9" t="s">
        <v>340</v>
      </c>
      <c r="K13" s="9" t="s">
        <v>341</v>
      </c>
      <c r="L13" s="9">
        <v>8.8000000000000007</v>
      </c>
      <c r="M13" s="11"/>
      <c r="N13" s="11"/>
      <c r="O13" s="8">
        <v>49</v>
      </c>
      <c r="P13" s="9" t="s">
        <v>142</v>
      </c>
      <c r="Q13" s="9" t="s">
        <v>143</v>
      </c>
      <c r="R13" s="9">
        <v>9</v>
      </c>
      <c r="S13" s="11"/>
      <c r="T13" s="11"/>
      <c r="U13" s="8">
        <v>10</v>
      </c>
      <c r="V13" s="9" t="s">
        <v>276</v>
      </c>
      <c r="W13" s="9" t="s">
        <v>277</v>
      </c>
      <c r="X13" s="9">
        <v>8.75</v>
      </c>
    </row>
    <row r="14" spans="1:24" ht="113.25" customHeight="1" x14ac:dyDescent="0.25">
      <c r="A14" s="8">
        <v>13</v>
      </c>
      <c r="B14" s="9" t="s">
        <v>282</v>
      </c>
      <c r="C14" s="9" t="s">
        <v>283</v>
      </c>
      <c r="D14" s="9">
        <v>6.5</v>
      </c>
      <c r="E14" s="9">
        <v>5.5</v>
      </c>
      <c r="F14" s="9">
        <v>6</v>
      </c>
      <c r="G14" s="11"/>
      <c r="H14" s="11"/>
      <c r="I14" s="8">
        <v>10</v>
      </c>
      <c r="J14" s="9" t="s">
        <v>276</v>
      </c>
      <c r="K14" s="9" t="s">
        <v>277</v>
      </c>
      <c r="L14" s="9">
        <v>8.75</v>
      </c>
      <c r="M14" s="11"/>
      <c r="N14" s="11"/>
      <c r="O14" s="8">
        <v>50</v>
      </c>
      <c r="P14" s="9" t="s">
        <v>348</v>
      </c>
      <c r="Q14" s="9" t="s">
        <v>349</v>
      </c>
      <c r="R14" s="9">
        <v>9</v>
      </c>
      <c r="S14" s="11"/>
      <c r="T14" s="11"/>
      <c r="U14" s="8">
        <v>25</v>
      </c>
      <c r="V14" s="9" t="s">
        <v>304</v>
      </c>
      <c r="W14" s="9" t="s">
        <v>305</v>
      </c>
      <c r="X14" s="9">
        <v>8.75</v>
      </c>
    </row>
    <row r="15" spans="1:24" ht="113.25" customHeight="1" x14ac:dyDescent="0.25">
      <c r="A15" s="8">
        <v>14</v>
      </c>
      <c r="B15" s="9" t="s">
        <v>284</v>
      </c>
      <c r="C15" s="9" t="s">
        <v>285</v>
      </c>
      <c r="D15" s="9">
        <v>7.5</v>
      </c>
      <c r="E15" s="9">
        <v>7</v>
      </c>
      <c r="F15" s="9">
        <v>7.75</v>
      </c>
      <c r="G15" s="11"/>
      <c r="H15" s="11"/>
      <c r="I15" s="8">
        <v>33</v>
      </c>
      <c r="J15" s="9" t="s">
        <v>318</v>
      </c>
      <c r="K15" s="9" t="s">
        <v>319</v>
      </c>
      <c r="L15" s="9">
        <v>8.67</v>
      </c>
      <c r="M15" s="11"/>
      <c r="N15" s="11"/>
      <c r="O15" s="8">
        <v>10</v>
      </c>
      <c r="P15" s="9" t="s">
        <v>276</v>
      </c>
      <c r="Q15" s="9" t="s">
        <v>277</v>
      </c>
      <c r="R15" s="9">
        <v>8.75</v>
      </c>
      <c r="S15" s="11"/>
      <c r="T15" s="11"/>
      <c r="U15" s="8">
        <v>4</v>
      </c>
      <c r="V15" s="9" t="s">
        <v>264</v>
      </c>
      <c r="W15" s="9" t="s">
        <v>265</v>
      </c>
      <c r="X15" s="9">
        <v>8.67</v>
      </c>
    </row>
    <row r="16" spans="1:24" ht="113.25" customHeight="1" x14ac:dyDescent="0.25">
      <c r="A16" s="8">
        <v>15</v>
      </c>
      <c r="B16" s="9" t="s">
        <v>286</v>
      </c>
      <c r="C16" s="9" t="s">
        <v>287</v>
      </c>
      <c r="D16" s="9">
        <v>5</v>
      </c>
      <c r="E16" s="9">
        <v>7</v>
      </c>
      <c r="F16" s="9">
        <v>5.25</v>
      </c>
      <c r="G16" s="11"/>
      <c r="H16" s="11"/>
      <c r="I16" s="8">
        <v>4</v>
      </c>
      <c r="J16" s="9" t="s">
        <v>264</v>
      </c>
      <c r="K16" s="9" t="s">
        <v>265</v>
      </c>
      <c r="L16" s="9">
        <v>8.67</v>
      </c>
      <c r="M16" s="11"/>
      <c r="N16" s="11"/>
      <c r="O16" s="8">
        <v>27</v>
      </c>
      <c r="P16" s="9" t="s">
        <v>308</v>
      </c>
      <c r="Q16" s="9" t="s">
        <v>309</v>
      </c>
      <c r="R16" s="9">
        <v>8.75</v>
      </c>
      <c r="S16" s="11"/>
      <c r="T16" s="11"/>
      <c r="U16" s="8">
        <v>27</v>
      </c>
      <c r="V16" s="9" t="s">
        <v>308</v>
      </c>
      <c r="W16" s="9" t="s">
        <v>309</v>
      </c>
      <c r="X16" s="9">
        <v>8.5</v>
      </c>
    </row>
    <row r="17" spans="1:24" ht="113.25" customHeight="1" x14ac:dyDescent="0.25">
      <c r="A17" s="8">
        <v>16</v>
      </c>
      <c r="B17" s="9" t="s">
        <v>288</v>
      </c>
      <c r="C17" s="9" t="s">
        <v>289</v>
      </c>
      <c r="D17" s="9">
        <v>8</v>
      </c>
      <c r="E17" s="9">
        <v>8</v>
      </c>
      <c r="F17" s="9">
        <v>8</v>
      </c>
      <c r="G17" s="11"/>
      <c r="H17" s="11"/>
      <c r="I17" s="8">
        <v>39</v>
      </c>
      <c r="J17" s="9" t="s">
        <v>330</v>
      </c>
      <c r="K17" s="9" t="s">
        <v>331</v>
      </c>
      <c r="L17" s="9">
        <v>8.5</v>
      </c>
      <c r="M17" s="11"/>
      <c r="N17" s="11"/>
      <c r="O17" s="8">
        <v>28</v>
      </c>
      <c r="P17" s="9" t="s">
        <v>310</v>
      </c>
      <c r="Q17" s="9" t="s">
        <v>311</v>
      </c>
      <c r="R17" s="9">
        <v>8.75</v>
      </c>
      <c r="S17" s="11"/>
      <c r="T17" s="11"/>
      <c r="U17" s="8">
        <v>28</v>
      </c>
      <c r="V17" s="9" t="s">
        <v>310</v>
      </c>
      <c r="W17" s="9" t="s">
        <v>311</v>
      </c>
      <c r="X17" s="9">
        <v>8.5</v>
      </c>
    </row>
    <row r="18" spans="1:24" ht="113.25" customHeight="1" x14ac:dyDescent="0.25">
      <c r="A18" s="8">
        <v>17</v>
      </c>
      <c r="B18" s="9" t="s">
        <v>133</v>
      </c>
      <c r="C18" s="9" t="s">
        <v>290</v>
      </c>
      <c r="D18" s="9">
        <v>8</v>
      </c>
      <c r="E18" s="9">
        <v>9.33</v>
      </c>
      <c r="F18" s="9">
        <v>8</v>
      </c>
      <c r="G18" s="11"/>
      <c r="H18" s="11"/>
      <c r="I18" s="8">
        <v>31</v>
      </c>
      <c r="J18" s="9" t="s">
        <v>314</v>
      </c>
      <c r="K18" s="9" t="s">
        <v>315</v>
      </c>
      <c r="L18" s="9">
        <v>8.33</v>
      </c>
      <c r="M18" s="11"/>
      <c r="N18" s="11"/>
      <c r="O18" s="8">
        <v>36</v>
      </c>
      <c r="P18" s="9" t="s">
        <v>324</v>
      </c>
      <c r="Q18" s="9" t="s">
        <v>325</v>
      </c>
      <c r="R18" s="9">
        <v>8.75</v>
      </c>
      <c r="S18" s="11"/>
      <c r="T18" s="11"/>
      <c r="U18" s="8">
        <v>36</v>
      </c>
      <c r="V18" s="9" t="s">
        <v>324</v>
      </c>
      <c r="W18" s="9" t="s">
        <v>325</v>
      </c>
      <c r="X18" s="9">
        <v>8.5</v>
      </c>
    </row>
    <row r="19" spans="1:24" ht="113.25" customHeight="1" x14ac:dyDescent="0.25">
      <c r="A19" s="8">
        <v>18</v>
      </c>
      <c r="B19" s="9" t="s">
        <v>291</v>
      </c>
      <c r="C19" s="9" t="s">
        <v>134</v>
      </c>
      <c r="D19" s="9">
        <v>9</v>
      </c>
      <c r="E19" s="9">
        <v>10</v>
      </c>
      <c r="F19" s="9">
        <v>9.67</v>
      </c>
      <c r="G19" s="11"/>
      <c r="H19" s="11"/>
      <c r="I19" s="8">
        <v>40</v>
      </c>
      <c r="J19" s="9" t="s">
        <v>332</v>
      </c>
      <c r="K19" s="9" t="s">
        <v>333</v>
      </c>
      <c r="L19" s="9">
        <v>8.33</v>
      </c>
      <c r="M19" s="11"/>
      <c r="N19" s="11"/>
      <c r="O19" s="8">
        <v>33</v>
      </c>
      <c r="P19" s="9" t="s">
        <v>318</v>
      </c>
      <c r="Q19" s="9" t="s">
        <v>319</v>
      </c>
      <c r="R19" s="9">
        <v>8.67</v>
      </c>
      <c r="S19" s="11"/>
      <c r="T19" s="11"/>
      <c r="U19" s="8">
        <v>33</v>
      </c>
      <c r="V19" s="9" t="s">
        <v>318</v>
      </c>
      <c r="W19" s="9" t="s">
        <v>319</v>
      </c>
      <c r="X19" s="9">
        <v>8.33</v>
      </c>
    </row>
    <row r="20" spans="1:24" ht="113.25" customHeight="1" x14ac:dyDescent="0.25">
      <c r="A20" s="8">
        <v>19</v>
      </c>
      <c r="B20" s="9" t="s">
        <v>292</v>
      </c>
      <c r="C20" s="9" t="s">
        <v>293</v>
      </c>
      <c r="D20" s="9">
        <v>10</v>
      </c>
      <c r="E20" s="9">
        <v>9.67</v>
      </c>
      <c r="F20" s="9">
        <v>10</v>
      </c>
      <c r="G20" s="11"/>
      <c r="H20" s="11"/>
      <c r="I20" s="8">
        <v>50</v>
      </c>
      <c r="J20" s="9" t="s">
        <v>348</v>
      </c>
      <c r="K20" s="9" t="s">
        <v>349</v>
      </c>
      <c r="L20" s="9">
        <v>8.33</v>
      </c>
      <c r="M20" s="11"/>
      <c r="N20" s="11"/>
      <c r="O20" s="8">
        <v>8</v>
      </c>
      <c r="P20" s="9" t="s">
        <v>272</v>
      </c>
      <c r="Q20" s="9" t="s">
        <v>273</v>
      </c>
      <c r="R20" s="9">
        <v>8.6</v>
      </c>
      <c r="S20" s="11"/>
      <c r="T20" s="11"/>
      <c r="U20" s="8">
        <v>8</v>
      </c>
      <c r="V20" s="9" t="s">
        <v>272</v>
      </c>
      <c r="W20" s="9" t="s">
        <v>273</v>
      </c>
      <c r="X20" s="9">
        <v>8.1999999999999993</v>
      </c>
    </row>
    <row r="21" spans="1:24" ht="113.25" customHeight="1" x14ac:dyDescent="0.25">
      <c r="A21" s="8">
        <v>20</v>
      </c>
      <c r="B21" s="9" t="s">
        <v>294</v>
      </c>
      <c r="C21" s="9" t="s">
        <v>295</v>
      </c>
      <c r="D21" s="9">
        <v>9.75</v>
      </c>
      <c r="E21" s="9">
        <v>9.75</v>
      </c>
      <c r="F21" s="9">
        <v>9.75</v>
      </c>
      <c r="G21" s="11"/>
      <c r="H21" s="11"/>
      <c r="I21" s="8">
        <v>25</v>
      </c>
      <c r="J21" s="9" t="s">
        <v>304</v>
      </c>
      <c r="K21" s="9" t="s">
        <v>305</v>
      </c>
      <c r="L21" s="9">
        <v>8.25</v>
      </c>
      <c r="M21" s="11"/>
      <c r="N21" s="11"/>
      <c r="O21" s="8">
        <v>9</v>
      </c>
      <c r="P21" s="9" t="s">
        <v>274</v>
      </c>
      <c r="Q21" s="9" t="s">
        <v>275</v>
      </c>
      <c r="R21" s="9">
        <v>8.6</v>
      </c>
      <c r="S21" s="11"/>
      <c r="T21" s="11"/>
      <c r="U21" s="8">
        <v>17</v>
      </c>
      <c r="V21" s="9" t="s">
        <v>133</v>
      </c>
      <c r="W21" s="9" t="s">
        <v>290</v>
      </c>
      <c r="X21" s="9">
        <v>8</v>
      </c>
    </row>
    <row r="22" spans="1:24" ht="113.25" customHeight="1" x14ac:dyDescent="0.25">
      <c r="A22" s="8">
        <v>21</v>
      </c>
      <c r="B22" s="9" t="s">
        <v>296</v>
      </c>
      <c r="C22" s="9" t="s">
        <v>297</v>
      </c>
      <c r="D22" s="9">
        <v>9.75</v>
      </c>
      <c r="E22" s="9">
        <v>10</v>
      </c>
      <c r="F22" s="9">
        <v>10</v>
      </c>
      <c r="G22" s="11"/>
      <c r="H22" s="11"/>
      <c r="I22" s="8">
        <v>17</v>
      </c>
      <c r="J22" s="9" t="s">
        <v>133</v>
      </c>
      <c r="K22" s="9" t="s">
        <v>290</v>
      </c>
      <c r="L22" s="9">
        <v>8</v>
      </c>
      <c r="M22" s="11"/>
      <c r="N22" s="11"/>
      <c r="O22" s="8">
        <v>25</v>
      </c>
      <c r="P22" s="9" t="s">
        <v>304</v>
      </c>
      <c r="Q22" s="9" t="s">
        <v>305</v>
      </c>
      <c r="R22" s="9">
        <v>8.5</v>
      </c>
      <c r="S22" s="11"/>
      <c r="T22" s="11"/>
      <c r="U22" s="8">
        <v>5</v>
      </c>
      <c r="V22" s="9" t="s">
        <v>266</v>
      </c>
      <c r="W22" s="9" t="s">
        <v>267</v>
      </c>
      <c r="X22" s="9">
        <v>8</v>
      </c>
    </row>
    <row r="23" spans="1:24" ht="113.25" customHeight="1" x14ac:dyDescent="0.25">
      <c r="A23" s="8">
        <v>22</v>
      </c>
      <c r="B23" s="9" t="s">
        <v>298</v>
      </c>
      <c r="C23" s="9" t="s">
        <v>299</v>
      </c>
      <c r="D23" s="9">
        <v>5</v>
      </c>
      <c r="E23" s="9">
        <v>9.33</v>
      </c>
      <c r="F23" s="9">
        <v>7</v>
      </c>
      <c r="G23" s="11"/>
      <c r="H23" s="11"/>
      <c r="I23" s="8">
        <v>5</v>
      </c>
      <c r="J23" s="9" t="s">
        <v>266</v>
      </c>
      <c r="K23" s="9" t="s">
        <v>267</v>
      </c>
      <c r="L23" s="9">
        <v>8</v>
      </c>
      <c r="M23" s="11"/>
      <c r="N23" s="11"/>
      <c r="O23" s="8">
        <v>4</v>
      </c>
      <c r="P23" s="9" t="s">
        <v>264</v>
      </c>
      <c r="Q23" s="9" t="s">
        <v>265</v>
      </c>
      <c r="R23" s="9">
        <v>8.33</v>
      </c>
      <c r="S23" s="11"/>
      <c r="T23" s="11"/>
      <c r="U23" s="8">
        <v>16</v>
      </c>
      <c r="V23" s="9" t="s">
        <v>288</v>
      </c>
      <c r="W23" s="9" t="s">
        <v>289</v>
      </c>
      <c r="X23" s="9">
        <v>8</v>
      </c>
    </row>
    <row r="24" spans="1:24" ht="113.25" customHeight="1" x14ac:dyDescent="0.25">
      <c r="A24" s="8">
        <v>23</v>
      </c>
      <c r="B24" s="9" t="s">
        <v>300</v>
      </c>
      <c r="C24" s="9" t="s">
        <v>301</v>
      </c>
      <c r="D24" s="9">
        <v>6.67</v>
      </c>
      <c r="E24" s="9">
        <v>9.67</v>
      </c>
      <c r="F24" s="9">
        <v>7.67</v>
      </c>
      <c r="G24" s="11"/>
      <c r="H24" s="11"/>
      <c r="I24" s="8">
        <v>16</v>
      </c>
      <c r="J24" s="9" t="s">
        <v>288</v>
      </c>
      <c r="K24" s="9" t="s">
        <v>289</v>
      </c>
      <c r="L24" s="9">
        <v>8</v>
      </c>
      <c r="M24" s="11"/>
      <c r="N24" s="11"/>
      <c r="O24" s="8">
        <v>35</v>
      </c>
      <c r="P24" s="9" t="s">
        <v>322</v>
      </c>
      <c r="Q24" s="9" t="s">
        <v>323</v>
      </c>
      <c r="R24" s="9">
        <v>8.33</v>
      </c>
      <c r="S24" s="11"/>
      <c r="T24" s="11"/>
      <c r="U24" s="8">
        <v>7</v>
      </c>
      <c r="V24" s="9" t="s">
        <v>270</v>
      </c>
      <c r="W24" s="9" t="s">
        <v>271</v>
      </c>
      <c r="X24" s="9">
        <v>8</v>
      </c>
    </row>
    <row r="25" spans="1:24" ht="113.25" customHeight="1" x14ac:dyDescent="0.25">
      <c r="A25" s="8">
        <v>24</v>
      </c>
      <c r="B25" s="9" t="s">
        <v>302</v>
      </c>
      <c r="C25" s="9" t="s">
        <v>303</v>
      </c>
      <c r="D25" s="9">
        <v>7</v>
      </c>
      <c r="E25" s="9">
        <v>8.25</v>
      </c>
      <c r="F25" s="9">
        <v>7.5</v>
      </c>
      <c r="G25" s="11"/>
      <c r="H25" s="11"/>
      <c r="I25" s="8">
        <v>7</v>
      </c>
      <c r="J25" s="9" t="s">
        <v>270</v>
      </c>
      <c r="K25" s="9" t="s">
        <v>271</v>
      </c>
      <c r="L25" s="9">
        <v>7.75</v>
      </c>
      <c r="M25" s="11"/>
      <c r="N25" s="11"/>
      <c r="O25" s="8">
        <v>24</v>
      </c>
      <c r="P25" s="9" t="s">
        <v>302</v>
      </c>
      <c r="Q25" s="9" t="s">
        <v>303</v>
      </c>
      <c r="R25" s="9">
        <v>8.25</v>
      </c>
      <c r="S25" s="11"/>
      <c r="T25" s="11"/>
      <c r="U25" s="8">
        <v>42</v>
      </c>
      <c r="V25" s="9" t="s">
        <v>336</v>
      </c>
      <c r="W25" s="9" t="s">
        <v>337</v>
      </c>
      <c r="X25" s="9">
        <v>8</v>
      </c>
    </row>
    <row r="26" spans="1:24" ht="113.25" customHeight="1" x14ac:dyDescent="0.25">
      <c r="A26" s="8">
        <v>25</v>
      </c>
      <c r="B26" s="9" t="s">
        <v>304</v>
      </c>
      <c r="C26" s="9" t="s">
        <v>305</v>
      </c>
      <c r="D26" s="9">
        <v>8.25</v>
      </c>
      <c r="E26" s="9">
        <v>8.5</v>
      </c>
      <c r="F26" s="9">
        <v>8.75</v>
      </c>
      <c r="G26" s="11"/>
      <c r="H26" s="11"/>
      <c r="I26" s="8">
        <v>48</v>
      </c>
      <c r="J26" s="9" t="s">
        <v>346</v>
      </c>
      <c r="K26" s="9" t="s">
        <v>347</v>
      </c>
      <c r="L26" s="9">
        <v>7.67</v>
      </c>
      <c r="M26" s="11"/>
      <c r="N26" s="11"/>
      <c r="O26" s="8">
        <v>2</v>
      </c>
      <c r="P26" s="9" t="s">
        <v>259</v>
      </c>
      <c r="Q26" s="9" t="s">
        <v>260</v>
      </c>
      <c r="R26" s="9">
        <v>8</v>
      </c>
      <c r="S26" s="11"/>
      <c r="T26" s="11"/>
      <c r="U26" s="8">
        <v>9</v>
      </c>
      <c r="V26" s="9" t="s">
        <v>274</v>
      </c>
      <c r="W26" s="9" t="s">
        <v>275</v>
      </c>
      <c r="X26" s="9">
        <v>7.8</v>
      </c>
    </row>
    <row r="27" spans="1:24" ht="113.25" customHeight="1" x14ac:dyDescent="0.25">
      <c r="A27" s="8">
        <v>26</v>
      </c>
      <c r="B27" s="9" t="s">
        <v>306</v>
      </c>
      <c r="C27" s="9" t="s">
        <v>307</v>
      </c>
      <c r="D27" s="9">
        <v>6.75</v>
      </c>
      <c r="E27" s="9">
        <v>7.75</v>
      </c>
      <c r="F27" s="9">
        <v>7.5</v>
      </c>
      <c r="G27" s="11"/>
      <c r="H27" s="11"/>
      <c r="I27" s="8">
        <v>42</v>
      </c>
      <c r="J27" s="9" t="s">
        <v>336</v>
      </c>
      <c r="K27" s="9" t="s">
        <v>337</v>
      </c>
      <c r="L27" s="9">
        <v>7.67</v>
      </c>
      <c r="M27" s="11"/>
      <c r="N27" s="11"/>
      <c r="O27" s="8">
        <v>3</v>
      </c>
      <c r="P27" s="9" t="s">
        <v>262</v>
      </c>
      <c r="Q27" s="9" t="s">
        <v>263</v>
      </c>
      <c r="R27" s="9">
        <v>8</v>
      </c>
      <c r="S27" s="11"/>
      <c r="T27" s="11"/>
      <c r="U27" s="8">
        <v>14</v>
      </c>
      <c r="V27" s="9" t="s">
        <v>284</v>
      </c>
      <c r="W27" s="9" t="s">
        <v>285</v>
      </c>
      <c r="X27" s="9">
        <v>7.75</v>
      </c>
    </row>
    <row r="28" spans="1:24" ht="113.25" customHeight="1" x14ac:dyDescent="0.25">
      <c r="A28" s="8">
        <v>27</v>
      </c>
      <c r="B28" s="9" t="s">
        <v>308</v>
      </c>
      <c r="C28" s="9" t="s">
        <v>309</v>
      </c>
      <c r="D28" s="9">
        <v>3.25</v>
      </c>
      <c r="E28" s="9">
        <v>8.75</v>
      </c>
      <c r="F28" s="9">
        <v>8.5</v>
      </c>
      <c r="G28" s="11"/>
      <c r="H28" s="11"/>
      <c r="I28" s="8">
        <v>14</v>
      </c>
      <c r="J28" s="9" t="s">
        <v>284</v>
      </c>
      <c r="K28" s="9" t="s">
        <v>285</v>
      </c>
      <c r="L28" s="9">
        <v>7.5</v>
      </c>
      <c r="M28" s="11"/>
      <c r="N28" s="11"/>
      <c r="O28" s="8">
        <v>5</v>
      </c>
      <c r="P28" s="9" t="s">
        <v>266</v>
      </c>
      <c r="Q28" s="9" t="s">
        <v>267</v>
      </c>
      <c r="R28" s="9">
        <v>8</v>
      </c>
      <c r="S28" s="11"/>
      <c r="T28" s="11"/>
      <c r="U28" s="8">
        <v>23</v>
      </c>
      <c r="V28" s="9" t="s">
        <v>300</v>
      </c>
      <c r="W28" s="9" t="s">
        <v>301</v>
      </c>
      <c r="X28" s="9">
        <v>7.67</v>
      </c>
    </row>
    <row r="29" spans="1:24" ht="113.25" customHeight="1" x14ac:dyDescent="0.25">
      <c r="A29" s="8">
        <v>28</v>
      </c>
      <c r="B29" s="9" t="s">
        <v>310</v>
      </c>
      <c r="C29" s="9" t="s">
        <v>311</v>
      </c>
      <c r="D29" s="9">
        <v>3.25</v>
      </c>
      <c r="E29" s="9">
        <v>8.75</v>
      </c>
      <c r="F29" s="9">
        <v>8.5</v>
      </c>
      <c r="G29" s="11"/>
      <c r="H29" s="11"/>
      <c r="I29" s="8">
        <v>8</v>
      </c>
      <c r="J29" s="9" t="s">
        <v>272</v>
      </c>
      <c r="K29" s="9" t="s">
        <v>273</v>
      </c>
      <c r="L29" s="9">
        <v>7.2</v>
      </c>
      <c r="M29" s="11"/>
      <c r="N29" s="11"/>
      <c r="O29" s="8">
        <v>16</v>
      </c>
      <c r="P29" s="9" t="s">
        <v>288</v>
      </c>
      <c r="Q29" s="9" t="s">
        <v>289</v>
      </c>
      <c r="R29" s="9">
        <v>8</v>
      </c>
      <c r="S29" s="11"/>
      <c r="T29" s="11"/>
      <c r="U29" s="8">
        <v>30</v>
      </c>
      <c r="V29" s="9" t="s">
        <v>114</v>
      </c>
      <c r="W29" s="9" t="s">
        <v>115</v>
      </c>
      <c r="X29" s="9">
        <v>7.67</v>
      </c>
    </row>
    <row r="30" spans="1:24" ht="113.25" customHeight="1" x14ac:dyDescent="0.25">
      <c r="A30" s="8">
        <v>29</v>
      </c>
      <c r="B30" s="9" t="s">
        <v>312</v>
      </c>
      <c r="C30" s="9" t="s">
        <v>313</v>
      </c>
      <c r="D30" s="9">
        <v>6.33</v>
      </c>
      <c r="E30" s="9">
        <v>6</v>
      </c>
      <c r="F30" s="9">
        <v>5.33</v>
      </c>
      <c r="G30" s="11"/>
      <c r="H30" s="11"/>
      <c r="I30" s="8">
        <v>45</v>
      </c>
      <c r="J30" s="9" t="s">
        <v>342</v>
      </c>
      <c r="K30" s="9" t="s">
        <v>343</v>
      </c>
      <c r="L30" s="9">
        <v>7</v>
      </c>
      <c r="M30" s="11"/>
      <c r="N30" s="11"/>
      <c r="O30" s="8">
        <v>41</v>
      </c>
      <c r="P30" s="9" t="s">
        <v>334</v>
      </c>
      <c r="Q30" s="9" t="s">
        <v>335</v>
      </c>
      <c r="R30" s="9">
        <v>8</v>
      </c>
      <c r="S30" s="11"/>
      <c r="T30" s="11"/>
      <c r="U30" s="8">
        <v>6</v>
      </c>
      <c r="V30" s="9" t="s">
        <v>268</v>
      </c>
      <c r="W30" s="9" t="s">
        <v>269</v>
      </c>
      <c r="X30" s="9">
        <v>7.6</v>
      </c>
    </row>
    <row r="31" spans="1:24" ht="113.25" customHeight="1" x14ac:dyDescent="0.25">
      <c r="A31" s="8">
        <v>30</v>
      </c>
      <c r="B31" s="9" t="s">
        <v>114</v>
      </c>
      <c r="C31" s="9" t="s">
        <v>115</v>
      </c>
      <c r="D31" s="9">
        <v>6.67</v>
      </c>
      <c r="E31" s="9">
        <v>6.67</v>
      </c>
      <c r="F31" s="9">
        <v>7.67</v>
      </c>
      <c r="G31" s="11"/>
      <c r="H31" s="11"/>
      <c r="I31" s="8">
        <v>24</v>
      </c>
      <c r="J31" s="9" t="s">
        <v>302</v>
      </c>
      <c r="K31" s="9" t="s">
        <v>303</v>
      </c>
      <c r="L31" s="9">
        <v>7</v>
      </c>
      <c r="M31" s="11"/>
      <c r="N31" s="11"/>
      <c r="O31" s="8">
        <v>43</v>
      </c>
      <c r="P31" s="9" t="s">
        <v>338</v>
      </c>
      <c r="Q31" s="9" t="s">
        <v>339</v>
      </c>
      <c r="R31" s="9">
        <v>8</v>
      </c>
      <c r="S31" s="11"/>
      <c r="T31" s="11"/>
      <c r="U31" s="8">
        <v>24</v>
      </c>
      <c r="V31" s="9" t="s">
        <v>302</v>
      </c>
      <c r="W31" s="9" t="s">
        <v>303</v>
      </c>
      <c r="X31" s="9">
        <v>7.5</v>
      </c>
    </row>
    <row r="32" spans="1:24" ht="113.25" customHeight="1" x14ac:dyDescent="0.25">
      <c r="A32" s="8">
        <v>31</v>
      </c>
      <c r="B32" s="9" t="s">
        <v>314</v>
      </c>
      <c r="C32" s="9" t="s">
        <v>315</v>
      </c>
      <c r="D32" s="9">
        <v>8.33</v>
      </c>
      <c r="E32" s="9">
        <v>7</v>
      </c>
      <c r="F32" s="9">
        <v>6</v>
      </c>
      <c r="G32" s="11"/>
      <c r="H32" s="11"/>
      <c r="I32" s="8">
        <v>6</v>
      </c>
      <c r="J32" s="9" t="s">
        <v>268</v>
      </c>
      <c r="K32" s="9" t="s">
        <v>269</v>
      </c>
      <c r="L32" s="9">
        <v>6.8</v>
      </c>
      <c r="M32" s="11"/>
      <c r="N32" s="11"/>
      <c r="O32" s="8">
        <v>7</v>
      </c>
      <c r="P32" s="9" t="s">
        <v>270</v>
      </c>
      <c r="Q32" s="9" t="s">
        <v>271</v>
      </c>
      <c r="R32" s="9">
        <v>7.8</v>
      </c>
      <c r="S32" s="11"/>
      <c r="T32" s="11"/>
      <c r="U32" s="8">
        <v>26</v>
      </c>
      <c r="V32" s="9" t="s">
        <v>306</v>
      </c>
      <c r="W32" s="9" t="s">
        <v>307</v>
      </c>
      <c r="X32" s="9">
        <v>7.5</v>
      </c>
    </row>
    <row r="33" spans="1:24" ht="113.25" customHeight="1" x14ac:dyDescent="0.25">
      <c r="A33" s="8">
        <v>32</v>
      </c>
      <c r="B33" s="9" t="s">
        <v>316</v>
      </c>
      <c r="C33" s="9" t="s">
        <v>317</v>
      </c>
      <c r="D33" s="9">
        <v>9</v>
      </c>
      <c r="E33" s="9">
        <v>7</v>
      </c>
      <c r="F33" s="9">
        <v>7</v>
      </c>
      <c r="G33" s="11"/>
      <c r="H33" s="11"/>
      <c r="I33" s="8">
        <v>26</v>
      </c>
      <c r="J33" s="9" t="s">
        <v>306</v>
      </c>
      <c r="K33" s="9" t="s">
        <v>307</v>
      </c>
      <c r="L33" s="9">
        <v>6.75</v>
      </c>
      <c r="M33" s="11"/>
      <c r="N33" s="11"/>
      <c r="O33" s="8">
        <v>26</v>
      </c>
      <c r="P33" s="9" t="s">
        <v>306</v>
      </c>
      <c r="Q33" s="9" t="s">
        <v>307</v>
      </c>
      <c r="R33" s="9">
        <v>7.75</v>
      </c>
      <c r="S33" s="11"/>
      <c r="T33" s="11"/>
      <c r="U33" s="8">
        <v>43</v>
      </c>
      <c r="V33" s="9" t="s">
        <v>338</v>
      </c>
      <c r="W33" s="9" t="s">
        <v>339</v>
      </c>
      <c r="X33" s="9">
        <v>7.5</v>
      </c>
    </row>
    <row r="34" spans="1:24" ht="113.25" customHeight="1" x14ac:dyDescent="0.25">
      <c r="A34" s="8">
        <v>33</v>
      </c>
      <c r="B34" s="9" t="s">
        <v>318</v>
      </c>
      <c r="C34" s="9" t="s">
        <v>319</v>
      </c>
      <c r="D34" s="9">
        <v>8.67</v>
      </c>
      <c r="E34" s="9">
        <v>8.67</v>
      </c>
      <c r="F34" s="9">
        <v>8.33</v>
      </c>
      <c r="G34" s="11"/>
      <c r="H34" s="11"/>
      <c r="I34" s="8">
        <v>23</v>
      </c>
      <c r="J34" s="9" t="s">
        <v>300</v>
      </c>
      <c r="K34" s="9" t="s">
        <v>301</v>
      </c>
      <c r="L34" s="9">
        <v>6.67</v>
      </c>
      <c r="M34" s="11"/>
      <c r="N34" s="11"/>
      <c r="O34" s="8">
        <v>6</v>
      </c>
      <c r="P34" s="9" t="s">
        <v>268</v>
      </c>
      <c r="Q34" s="9" t="s">
        <v>269</v>
      </c>
      <c r="R34" s="9">
        <v>7.6</v>
      </c>
      <c r="S34" s="11"/>
      <c r="T34" s="11"/>
      <c r="U34" s="8">
        <v>44</v>
      </c>
      <c r="V34" s="9" t="s">
        <v>340</v>
      </c>
      <c r="W34" s="9" t="s">
        <v>341</v>
      </c>
      <c r="X34" s="9">
        <v>7.4</v>
      </c>
    </row>
    <row r="35" spans="1:24" ht="113.25" customHeight="1" x14ac:dyDescent="0.25">
      <c r="A35" s="8">
        <v>34</v>
      </c>
      <c r="B35" s="9" t="s">
        <v>320</v>
      </c>
      <c r="C35" s="9" t="s">
        <v>321</v>
      </c>
      <c r="D35" s="9">
        <v>10</v>
      </c>
      <c r="E35" s="9">
        <v>4.67</v>
      </c>
      <c r="F35" s="9">
        <v>7.33</v>
      </c>
      <c r="G35" s="11"/>
      <c r="H35" s="11"/>
      <c r="I35" s="8">
        <v>30</v>
      </c>
      <c r="J35" s="9" t="s">
        <v>114</v>
      </c>
      <c r="K35" s="9" t="s">
        <v>115</v>
      </c>
      <c r="L35" s="9">
        <v>6.67</v>
      </c>
      <c r="M35" s="11"/>
      <c r="N35" s="11"/>
      <c r="O35" s="8">
        <v>14</v>
      </c>
      <c r="P35" s="9" t="s">
        <v>284</v>
      </c>
      <c r="Q35" s="9" t="s">
        <v>285</v>
      </c>
      <c r="R35" s="9">
        <v>7</v>
      </c>
      <c r="S35" s="11"/>
      <c r="T35" s="11"/>
      <c r="U35" s="8">
        <v>34</v>
      </c>
      <c r="V35" s="9" t="s">
        <v>320</v>
      </c>
      <c r="W35" s="9" t="s">
        <v>321</v>
      </c>
      <c r="X35" s="9">
        <v>7.33</v>
      </c>
    </row>
    <row r="36" spans="1:24" ht="113.25" customHeight="1" x14ac:dyDescent="0.25">
      <c r="A36" s="8">
        <v>35</v>
      </c>
      <c r="B36" s="9" t="s">
        <v>322</v>
      </c>
      <c r="C36" s="9" t="s">
        <v>323</v>
      </c>
      <c r="D36" s="9">
        <v>10</v>
      </c>
      <c r="E36" s="9">
        <v>8.33</v>
      </c>
      <c r="F36" s="9">
        <v>9</v>
      </c>
      <c r="G36" s="11"/>
      <c r="H36" s="11"/>
      <c r="I36" s="8">
        <v>13</v>
      </c>
      <c r="J36" s="9" t="s">
        <v>282</v>
      </c>
      <c r="K36" s="9" t="s">
        <v>283</v>
      </c>
      <c r="L36" s="9">
        <v>6.5</v>
      </c>
      <c r="M36" s="11"/>
      <c r="N36" s="11"/>
      <c r="O36" s="8">
        <v>15</v>
      </c>
      <c r="P36" s="9" t="s">
        <v>286</v>
      </c>
      <c r="Q36" s="9" t="s">
        <v>287</v>
      </c>
      <c r="R36" s="9">
        <v>7</v>
      </c>
      <c r="S36" s="11"/>
      <c r="T36" s="11"/>
      <c r="U36" s="8">
        <v>40</v>
      </c>
      <c r="V36" s="9" t="s">
        <v>332</v>
      </c>
      <c r="W36" s="9" t="s">
        <v>333</v>
      </c>
      <c r="X36" s="9">
        <v>7.33</v>
      </c>
    </row>
    <row r="37" spans="1:24" ht="113.25" customHeight="1" x14ac:dyDescent="0.25">
      <c r="A37" s="8">
        <v>36</v>
      </c>
      <c r="B37" s="9" t="s">
        <v>324</v>
      </c>
      <c r="C37" s="9" t="s">
        <v>325</v>
      </c>
      <c r="D37" s="9">
        <v>3.25</v>
      </c>
      <c r="E37" s="9">
        <v>8.75</v>
      </c>
      <c r="F37" s="9">
        <v>8.5</v>
      </c>
      <c r="G37" s="11"/>
      <c r="H37" s="11"/>
      <c r="I37" s="8">
        <v>29</v>
      </c>
      <c r="J37" s="9" t="s">
        <v>312</v>
      </c>
      <c r="K37" s="9" t="s">
        <v>313</v>
      </c>
      <c r="L37" s="9">
        <v>6.33</v>
      </c>
      <c r="M37" s="11"/>
      <c r="N37" s="11"/>
      <c r="O37" s="8">
        <v>31</v>
      </c>
      <c r="P37" s="9" t="s">
        <v>314</v>
      </c>
      <c r="Q37" s="9" t="s">
        <v>315</v>
      </c>
      <c r="R37" s="9">
        <v>7</v>
      </c>
      <c r="S37" s="11"/>
      <c r="T37" s="11"/>
      <c r="U37" s="8">
        <v>41</v>
      </c>
      <c r="V37" s="9" t="s">
        <v>334</v>
      </c>
      <c r="W37" s="9" t="s">
        <v>335</v>
      </c>
      <c r="X37" s="9">
        <v>7.33</v>
      </c>
    </row>
    <row r="38" spans="1:24" ht="113.25" customHeight="1" x14ac:dyDescent="0.25">
      <c r="A38" s="8">
        <v>37</v>
      </c>
      <c r="B38" s="9" t="s">
        <v>326</v>
      </c>
      <c r="C38" s="9" t="s">
        <v>327</v>
      </c>
      <c r="D38" s="9">
        <v>9.25</v>
      </c>
      <c r="E38" s="9">
        <v>9.25</v>
      </c>
      <c r="F38" s="9">
        <v>8.75</v>
      </c>
      <c r="G38" s="11"/>
      <c r="H38" s="11"/>
      <c r="I38" s="8">
        <v>9</v>
      </c>
      <c r="J38" s="9" t="s">
        <v>274</v>
      </c>
      <c r="K38" s="9" t="s">
        <v>275</v>
      </c>
      <c r="L38" s="9">
        <v>6.2</v>
      </c>
      <c r="M38" s="11"/>
      <c r="N38" s="11"/>
      <c r="O38" s="8">
        <v>32</v>
      </c>
      <c r="P38" s="9" t="s">
        <v>316</v>
      </c>
      <c r="Q38" s="9" t="s">
        <v>317</v>
      </c>
      <c r="R38" s="9">
        <v>7</v>
      </c>
      <c r="S38" s="11"/>
      <c r="T38" s="11"/>
      <c r="U38" s="8">
        <v>32</v>
      </c>
      <c r="V38" s="9" t="s">
        <v>316</v>
      </c>
      <c r="W38" s="9" t="s">
        <v>317</v>
      </c>
      <c r="X38" s="9">
        <v>7</v>
      </c>
    </row>
    <row r="39" spans="1:24" ht="113.25" customHeight="1" x14ac:dyDescent="0.25">
      <c r="A39" s="8">
        <v>38</v>
      </c>
      <c r="B39" s="9" t="s">
        <v>328</v>
      </c>
      <c r="C39" s="9" t="s">
        <v>329</v>
      </c>
      <c r="D39" s="9">
        <v>9</v>
      </c>
      <c r="E39" s="9">
        <v>6.67</v>
      </c>
      <c r="F39" s="9">
        <v>7</v>
      </c>
      <c r="G39" s="11"/>
      <c r="H39" s="11"/>
      <c r="I39" s="8">
        <v>41</v>
      </c>
      <c r="J39" s="9" t="s">
        <v>334</v>
      </c>
      <c r="K39" s="9" t="s">
        <v>335</v>
      </c>
      <c r="L39" s="9">
        <v>6</v>
      </c>
      <c r="M39" s="11"/>
      <c r="N39" s="11"/>
      <c r="O39" s="8">
        <v>40</v>
      </c>
      <c r="P39" s="9" t="s">
        <v>332</v>
      </c>
      <c r="Q39" s="9" t="s">
        <v>333</v>
      </c>
      <c r="R39" s="9">
        <v>7</v>
      </c>
      <c r="S39" s="11"/>
      <c r="T39" s="11"/>
      <c r="U39" s="8">
        <v>38</v>
      </c>
      <c r="V39" s="9" t="s">
        <v>328</v>
      </c>
      <c r="W39" s="9" t="s">
        <v>329</v>
      </c>
      <c r="X39" s="9">
        <v>7</v>
      </c>
    </row>
    <row r="40" spans="1:24" ht="113.25" customHeight="1" x14ac:dyDescent="0.25">
      <c r="A40" s="8">
        <v>39</v>
      </c>
      <c r="B40" s="9" t="s">
        <v>330</v>
      </c>
      <c r="C40" s="9" t="s">
        <v>331</v>
      </c>
      <c r="D40" s="9">
        <v>8.5</v>
      </c>
      <c r="E40" s="9">
        <v>6</v>
      </c>
      <c r="F40" s="9">
        <v>7</v>
      </c>
      <c r="G40" s="11"/>
      <c r="H40" s="11"/>
      <c r="I40" s="8">
        <v>43</v>
      </c>
      <c r="J40" s="9" t="s">
        <v>338</v>
      </c>
      <c r="K40" s="9" t="s">
        <v>339</v>
      </c>
      <c r="L40" s="9">
        <v>6</v>
      </c>
      <c r="M40" s="11"/>
      <c r="N40" s="11"/>
      <c r="O40" s="8">
        <v>30</v>
      </c>
      <c r="P40" s="9" t="s">
        <v>114</v>
      </c>
      <c r="Q40" s="9" t="s">
        <v>115</v>
      </c>
      <c r="R40" s="9">
        <v>6.67</v>
      </c>
      <c r="S40" s="11"/>
      <c r="T40" s="11"/>
      <c r="U40" s="8">
        <v>39</v>
      </c>
      <c r="V40" s="9" t="s">
        <v>330</v>
      </c>
      <c r="W40" s="9" t="s">
        <v>331</v>
      </c>
      <c r="X40" s="9">
        <v>7</v>
      </c>
    </row>
    <row r="41" spans="1:24" ht="113.25" customHeight="1" x14ac:dyDescent="0.25">
      <c r="A41" s="8">
        <v>40</v>
      </c>
      <c r="B41" s="9" t="s">
        <v>332</v>
      </c>
      <c r="C41" s="9" t="s">
        <v>333</v>
      </c>
      <c r="D41" s="9">
        <v>8.33</v>
      </c>
      <c r="E41" s="9">
        <v>7</v>
      </c>
      <c r="F41" s="9">
        <v>7.33</v>
      </c>
      <c r="G41" s="11"/>
      <c r="H41" s="11"/>
      <c r="I41" s="8">
        <v>11</v>
      </c>
      <c r="J41" s="9" t="s">
        <v>278</v>
      </c>
      <c r="K41" s="9" t="s">
        <v>279</v>
      </c>
      <c r="L41" s="9">
        <v>6</v>
      </c>
      <c r="M41" s="11"/>
      <c r="N41" s="11"/>
      <c r="O41" s="8">
        <v>38</v>
      </c>
      <c r="P41" s="9" t="s">
        <v>328</v>
      </c>
      <c r="Q41" s="9" t="s">
        <v>329</v>
      </c>
      <c r="R41" s="9">
        <v>6.67</v>
      </c>
      <c r="S41" s="11"/>
      <c r="T41" s="11"/>
      <c r="U41" s="8">
        <v>22</v>
      </c>
      <c r="V41" s="9" t="s">
        <v>298</v>
      </c>
      <c r="W41" s="9" t="s">
        <v>299</v>
      </c>
      <c r="X41" s="9">
        <v>7</v>
      </c>
    </row>
    <row r="42" spans="1:24" ht="113.25" customHeight="1" x14ac:dyDescent="0.25">
      <c r="A42" s="8">
        <v>41</v>
      </c>
      <c r="B42" s="9" t="s">
        <v>334</v>
      </c>
      <c r="C42" s="9" t="s">
        <v>335</v>
      </c>
      <c r="D42" s="9">
        <v>6</v>
      </c>
      <c r="E42" s="9">
        <v>8</v>
      </c>
      <c r="F42" s="9">
        <v>7.33</v>
      </c>
      <c r="G42" s="11"/>
      <c r="H42" s="11"/>
      <c r="I42" s="8">
        <v>2</v>
      </c>
      <c r="J42" s="9" t="s">
        <v>259</v>
      </c>
      <c r="K42" s="9" t="s">
        <v>260</v>
      </c>
      <c r="L42" s="9">
        <v>5.33</v>
      </c>
      <c r="M42" s="11"/>
      <c r="N42" s="11"/>
      <c r="O42" s="8">
        <v>29</v>
      </c>
      <c r="P42" s="9" t="s">
        <v>312</v>
      </c>
      <c r="Q42" s="9" t="s">
        <v>313</v>
      </c>
      <c r="R42" s="9">
        <v>6</v>
      </c>
      <c r="S42" s="11"/>
      <c r="T42" s="11"/>
      <c r="U42" s="8">
        <v>31</v>
      </c>
      <c r="V42" s="9" t="s">
        <v>314</v>
      </c>
      <c r="W42" s="9" t="s">
        <v>315</v>
      </c>
      <c r="X42" s="9">
        <v>6</v>
      </c>
    </row>
    <row r="43" spans="1:24" ht="113.25" customHeight="1" x14ac:dyDescent="0.25">
      <c r="A43" s="8">
        <v>42</v>
      </c>
      <c r="B43" s="9" t="s">
        <v>336</v>
      </c>
      <c r="C43" s="9" t="s">
        <v>337</v>
      </c>
      <c r="D43" s="9">
        <v>7.67</v>
      </c>
      <c r="E43" s="9">
        <v>5.67</v>
      </c>
      <c r="F43" s="9">
        <v>8</v>
      </c>
      <c r="G43" s="11"/>
      <c r="H43" s="11"/>
      <c r="I43" s="8">
        <v>3</v>
      </c>
      <c r="J43" s="9" t="s">
        <v>262</v>
      </c>
      <c r="K43" s="9" t="s">
        <v>263</v>
      </c>
      <c r="L43" s="9">
        <v>5.33</v>
      </c>
      <c r="M43" s="11"/>
      <c r="N43" s="11"/>
      <c r="O43" s="8">
        <v>39</v>
      </c>
      <c r="P43" s="9" t="s">
        <v>330</v>
      </c>
      <c r="Q43" s="9" t="s">
        <v>331</v>
      </c>
      <c r="R43" s="9">
        <v>6</v>
      </c>
      <c r="S43" s="11"/>
      <c r="T43" s="11"/>
      <c r="U43" s="8">
        <v>13</v>
      </c>
      <c r="V43" s="9" t="s">
        <v>282</v>
      </c>
      <c r="W43" s="9" t="s">
        <v>283</v>
      </c>
      <c r="X43" s="9">
        <v>6</v>
      </c>
    </row>
    <row r="44" spans="1:24" ht="113.25" customHeight="1" x14ac:dyDescent="0.25">
      <c r="A44" s="8">
        <v>43</v>
      </c>
      <c r="B44" s="9" t="s">
        <v>338</v>
      </c>
      <c r="C44" s="9" t="s">
        <v>339</v>
      </c>
      <c r="D44" s="9">
        <v>6</v>
      </c>
      <c r="E44" s="9">
        <v>8</v>
      </c>
      <c r="F44" s="9">
        <v>7.5</v>
      </c>
      <c r="G44" s="11"/>
      <c r="H44" s="11"/>
      <c r="I44" s="8">
        <v>22</v>
      </c>
      <c r="J44" s="9" t="s">
        <v>298</v>
      </c>
      <c r="K44" s="9" t="s">
        <v>299</v>
      </c>
      <c r="L44" s="9">
        <v>5</v>
      </c>
      <c r="M44" s="11"/>
      <c r="N44" s="11"/>
      <c r="O44" s="8">
        <v>44</v>
      </c>
      <c r="P44" s="9" t="s">
        <v>340</v>
      </c>
      <c r="Q44" s="9" t="s">
        <v>341</v>
      </c>
      <c r="R44" s="9">
        <v>6</v>
      </c>
      <c r="S44" s="11"/>
      <c r="T44" s="11"/>
      <c r="U44" s="8">
        <v>11</v>
      </c>
      <c r="V44" s="9" t="s">
        <v>278</v>
      </c>
      <c r="W44" s="9" t="s">
        <v>279</v>
      </c>
      <c r="X44" s="9">
        <v>6</v>
      </c>
    </row>
    <row r="45" spans="1:24" ht="113.25" customHeight="1" x14ac:dyDescent="0.25">
      <c r="A45" s="8">
        <v>44</v>
      </c>
      <c r="B45" s="9" t="s">
        <v>340</v>
      </c>
      <c r="C45" s="9" t="s">
        <v>341</v>
      </c>
      <c r="D45" s="9">
        <v>8.8000000000000007</v>
      </c>
      <c r="E45" s="9">
        <v>6</v>
      </c>
      <c r="F45" s="9">
        <v>7.4</v>
      </c>
      <c r="G45" s="11"/>
      <c r="H45" s="11"/>
      <c r="I45" s="8">
        <v>15</v>
      </c>
      <c r="J45" s="9" t="s">
        <v>286</v>
      </c>
      <c r="K45" s="9" t="s">
        <v>287</v>
      </c>
      <c r="L45" s="9">
        <v>5</v>
      </c>
      <c r="M45" s="11"/>
      <c r="N45" s="11"/>
      <c r="O45" s="8">
        <v>42</v>
      </c>
      <c r="P45" s="9" t="s">
        <v>336</v>
      </c>
      <c r="Q45" s="9" t="s">
        <v>337</v>
      </c>
      <c r="R45" s="9">
        <v>5.67</v>
      </c>
      <c r="S45" s="11"/>
      <c r="T45" s="11"/>
      <c r="U45" s="8">
        <v>29</v>
      </c>
      <c r="V45" s="9" t="s">
        <v>312</v>
      </c>
      <c r="W45" s="9" t="s">
        <v>313</v>
      </c>
      <c r="X45" s="9">
        <v>5.33</v>
      </c>
    </row>
    <row r="46" spans="1:24" ht="113.25" customHeight="1" x14ac:dyDescent="0.25">
      <c r="A46" s="8">
        <v>45</v>
      </c>
      <c r="B46" s="9" t="s">
        <v>342</v>
      </c>
      <c r="C46" s="9" t="s">
        <v>343</v>
      </c>
      <c r="D46" s="9">
        <v>7</v>
      </c>
      <c r="E46" s="9">
        <v>9.6</v>
      </c>
      <c r="F46" s="9">
        <v>9.4</v>
      </c>
      <c r="G46" s="11"/>
      <c r="H46" s="11"/>
      <c r="I46" s="8">
        <v>12</v>
      </c>
      <c r="J46" s="9" t="s">
        <v>280</v>
      </c>
      <c r="K46" s="9" t="s">
        <v>281</v>
      </c>
      <c r="L46" s="9">
        <v>4.25</v>
      </c>
      <c r="M46" s="11"/>
      <c r="N46" s="11"/>
      <c r="O46" s="8">
        <v>11</v>
      </c>
      <c r="P46" s="9" t="s">
        <v>278</v>
      </c>
      <c r="Q46" s="9" t="s">
        <v>279</v>
      </c>
      <c r="R46" s="9">
        <v>5.5</v>
      </c>
      <c r="S46" s="11"/>
      <c r="T46" s="11"/>
      <c r="U46" s="8">
        <v>2</v>
      </c>
      <c r="V46" s="9" t="s">
        <v>259</v>
      </c>
      <c r="W46" s="9" t="s">
        <v>260</v>
      </c>
      <c r="X46" s="9">
        <v>5.33</v>
      </c>
    </row>
    <row r="47" spans="1:24" ht="113.25" customHeight="1" x14ac:dyDescent="0.25">
      <c r="A47" s="8">
        <v>46</v>
      </c>
      <c r="B47" s="9" t="s">
        <v>375</v>
      </c>
      <c r="C47" s="9" t="s">
        <v>376</v>
      </c>
      <c r="D47" s="9" t="s">
        <v>377</v>
      </c>
      <c r="E47" s="9" t="s">
        <v>377</v>
      </c>
      <c r="F47" s="9" t="s">
        <v>377</v>
      </c>
      <c r="G47" s="11"/>
      <c r="H47" s="11"/>
      <c r="I47" s="8">
        <v>27</v>
      </c>
      <c r="J47" s="9" t="s">
        <v>308</v>
      </c>
      <c r="K47" s="9" t="s">
        <v>309</v>
      </c>
      <c r="L47" s="9">
        <v>3.25</v>
      </c>
      <c r="M47" s="11"/>
      <c r="N47" s="11"/>
      <c r="O47" s="8">
        <v>13</v>
      </c>
      <c r="P47" s="9" t="s">
        <v>282</v>
      </c>
      <c r="Q47" s="9" t="s">
        <v>283</v>
      </c>
      <c r="R47" s="9">
        <v>5.5</v>
      </c>
      <c r="S47" s="11"/>
      <c r="T47" s="11"/>
      <c r="U47" s="8">
        <v>3</v>
      </c>
      <c r="V47" s="9" t="s">
        <v>262</v>
      </c>
      <c r="W47" s="9" t="s">
        <v>263</v>
      </c>
      <c r="X47" s="9">
        <v>5.33</v>
      </c>
    </row>
    <row r="48" spans="1:24" ht="113.25" customHeight="1" x14ac:dyDescent="0.25">
      <c r="A48" s="8">
        <v>47</v>
      </c>
      <c r="B48" s="9" t="s">
        <v>344</v>
      </c>
      <c r="C48" s="9" t="s">
        <v>345</v>
      </c>
      <c r="D48" s="9">
        <v>9</v>
      </c>
      <c r="E48" s="9">
        <v>9</v>
      </c>
      <c r="F48" s="9">
        <v>9</v>
      </c>
      <c r="G48" s="11"/>
      <c r="H48" s="11"/>
      <c r="I48" s="8">
        <v>28</v>
      </c>
      <c r="J48" s="9" t="s">
        <v>310</v>
      </c>
      <c r="K48" s="9" t="s">
        <v>311</v>
      </c>
      <c r="L48" s="9">
        <v>3.25</v>
      </c>
      <c r="M48" s="11"/>
      <c r="N48" s="11"/>
      <c r="O48" s="8">
        <v>1</v>
      </c>
      <c r="P48" s="9" t="s">
        <v>124</v>
      </c>
      <c r="Q48" s="9" t="s">
        <v>125</v>
      </c>
      <c r="R48" s="9">
        <v>5</v>
      </c>
      <c r="S48" s="11"/>
      <c r="T48" s="11"/>
      <c r="U48" s="8">
        <v>15</v>
      </c>
      <c r="V48" s="9" t="s">
        <v>286</v>
      </c>
      <c r="W48" s="9" t="s">
        <v>287</v>
      </c>
      <c r="X48" s="9">
        <v>5.25</v>
      </c>
    </row>
    <row r="49" spans="1:24" ht="113.25" customHeight="1" x14ac:dyDescent="0.25">
      <c r="A49" s="8">
        <v>48</v>
      </c>
      <c r="B49" s="9" t="s">
        <v>346</v>
      </c>
      <c r="C49" s="9" t="s">
        <v>347</v>
      </c>
      <c r="D49" s="9">
        <v>7.67</v>
      </c>
      <c r="E49" s="9">
        <v>9</v>
      </c>
      <c r="F49" s="9">
        <v>9</v>
      </c>
      <c r="G49" s="11"/>
      <c r="H49" s="11"/>
      <c r="I49" s="8">
        <v>36</v>
      </c>
      <c r="J49" s="9" t="s">
        <v>324</v>
      </c>
      <c r="K49" s="9" t="s">
        <v>325</v>
      </c>
      <c r="L49" s="9">
        <v>3.25</v>
      </c>
      <c r="M49" s="11"/>
      <c r="N49" s="11"/>
      <c r="O49" s="8">
        <v>34</v>
      </c>
      <c r="P49" s="9" t="s">
        <v>320</v>
      </c>
      <c r="Q49" s="9" t="s">
        <v>321</v>
      </c>
      <c r="R49" s="9">
        <v>4.67</v>
      </c>
      <c r="S49" s="11"/>
      <c r="T49" s="11"/>
      <c r="U49" s="8">
        <v>12</v>
      </c>
      <c r="V49" s="9" t="s">
        <v>280</v>
      </c>
      <c r="W49" s="9" t="s">
        <v>281</v>
      </c>
      <c r="X49" s="9">
        <v>4.25</v>
      </c>
    </row>
    <row r="50" spans="1:24" ht="113.25" customHeight="1" x14ac:dyDescent="0.25">
      <c r="A50" s="8">
        <v>49</v>
      </c>
      <c r="B50" s="9" t="s">
        <v>142</v>
      </c>
      <c r="C50" s="9" t="s">
        <v>143</v>
      </c>
      <c r="D50" s="9">
        <v>9</v>
      </c>
      <c r="E50" s="9">
        <v>9</v>
      </c>
      <c r="F50" s="9">
        <v>9</v>
      </c>
      <c r="G50" s="11"/>
      <c r="H50" s="11"/>
      <c r="I50" s="8">
        <v>51</v>
      </c>
      <c r="J50" s="9" t="s">
        <v>350</v>
      </c>
      <c r="K50" s="9" t="s">
        <v>351</v>
      </c>
      <c r="L50" s="9">
        <v>3</v>
      </c>
      <c r="M50" s="11"/>
      <c r="N50" s="11"/>
      <c r="O50" s="8">
        <v>12</v>
      </c>
      <c r="P50" s="9" t="s">
        <v>280</v>
      </c>
      <c r="Q50" s="9" t="s">
        <v>281</v>
      </c>
      <c r="R50" s="9">
        <v>4</v>
      </c>
      <c r="S50" s="11"/>
      <c r="T50" s="11"/>
      <c r="U50" s="8">
        <v>51</v>
      </c>
      <c r="V50" s="9" t="s">
        <v>350</v>
      </c>
      <c r="W50" s="9" t="s">
        <v>351</v>
      </c>
      <c r="X50" s="9">
        <v>3</v>
      </c>
    </row>
    <row r="51" spans="1:24" ht="113.25" customHeight="1" x14ac:dyDescent="0.25">
      <c r="A51" s="8">
        <v>50</v>
      </c>
      <c r="B51" s="9" t="s">
        <v>348</v>
      </c>
      <c r="C51" s="9" t="s">
        <v>349</v>
      </c>
      <c r="D51" s="9">
        <v>8.33</v>
      </c>
      <c r="E51" s="9">
        <v>9</v>
      </c>
      <c r="F51" s="9">
        <v>9</v>
      </c>
      <c r="G51" s="11"/>
      <c r="H51" s="11"/>
      <c r="I51" s="8">
        <v>1</v>
      </c>
      <c r="J51" s="9" t="s">
        <v>124</v>
      </c>
      <c r="K51" s="9" t="s">
        <v>125</v>
      </c>
      <c r="L51" s="9">
        <v>2</v>
      </c>
      <c r="M51" s="11"/>
      <c r="N51" s="11"/>
      <c r="O51" s="8">
        <v>51</v>
      </c>
      <c r="P51" s="9" t="s">
        <v>350</v>
      </c>
      <c r="Q51" s="9" t="s">
        <v>351</v>
      </c>
      <c r="R51" s="9">
        <v>3</v>
      </c>
      <c r="S51" s="11"/>
      <c r="T51" s="11"/>
      <c r="U51" s="8">
        <v>1</v>
      </c>
      <c r="V51" s="9" t="s">
        <v>124</v>
      </c>
      <c r="W51" s="9" t="s">
        <v>125</v>
      </c>
      <c r="X51" s="9">
        <v>2</v>
      </c>
    </row>
    <row r="52" spans="1:24" ht="113.25" customHeight="1" x14ac:dyDescent="0.25">
      <c r="A52" s="8">
        <v>51</v>
      </c>
      <c r="B52" s="9" t="s">
        <v>350</v>
      </c>
      <c r="C52" s="9" t="s">
        <v>351</v>
      </c>
      <c r="D52" s="9">
        <v>3</v>
      </c>
      <c r="E52" s="9">
        <v>3</v>
      </c>
      <c r="F52" s="9">
        <v>3</v>
      </c>
      <c r="G52" s="11"/>
      <c r="H52" s="11"/>
      <c r="I52" s="11"/>
      <c r="J52" s="11"/>
      <c r="K52" s="11"/>
      <c r="L52" s="11"/>
      <c r="M52" s="11"/>
      <c r="N52" s="11"/>
      <c r="O52" s="11"/>
      <c r="P52" s="11"/>
      <c r="Q52" s="11"/>
      <c r="R52" s="11"/>
      <c r="S52" s="11"/>
      <c r="T52" s="11"/>
      <c r="U52" s="11"/>
      <c r="V52" s="11"/>
      <c r="W52" s="11"/>
      <c r="X52" s="1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8C83AA471CFD54C89FF94069A2BE431" ma:contentTypeVersion="13" ma:contentTypeDescription="Crear nuevo documento." ma:contentTypeScope="" ma:versionID="79a10d7884c419cea25b59ba2179674c">
  <xsd:schema xmlns:xsd="http://www.w3.org/2001/XMLSchema" xmlns:xs="http://www.w3.org/2001/XMLSchema" xmlns:p="http://schemas.microsoft.com/office/2006/metadata/properties" xmlns:ns2="c562b887-780b-4b9e-89ca-3d8930e1f7d5" xmlns:ns3="8f3e5daa-0737-4fc0-bf49-64926580d8d7" targetNamespace="http://schemas.microsoft.com/office/2006/metadata/properties" ma:root="true" ma:fieldsID="78baee2c15a6ded4b21d986dd58d10f1" ns2:_="" ns3:_="">
    <xsd:import namespace="c562b887-780b-4b9e-89ca-3d8930e1f7d5"/>
    <xsd:import namespace="8f3e5daa-0737-4fc0-bf49-64926580d8d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62b887-780b-4b9e-89ca-3d8930e1f7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f3e5daa-0737-4fc0-bf49-64926580d8d7"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32986F7-225D-4566-A798-C36D5E6EF3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62b887-780b-4b9e-89ca-3d8930e1f7d5"/>
    <ds:schemaRef ds:uri="8f3e5daa-0737-4fc0-bf49-64926580d8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7E3E04-AC4B-4050-A0EC-033A431202B7}">
  <ds:schemaRefs>
    <ds:schemaRef ds:uri="http://schemas.microsoft.com/sharepoint/v3/contenttype/forms"/>
  </ds:schemaRefs>
</ds:datastoreItem>
</file>

<file path=customXml/itemProps3.xml><?xml version="1.0" encoding="utf-8"?>
<ds:datastoreItem xmlns:ds="http://schemas.openxmlformats.org/officeDocument/2006/customXml" ds:itemID="{7196882A-948D-4AED-B28D-4911F8C3134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MASPS-MN-IN1-6-FR-2</vt:lpstr>
      <vt:lpstr>Listas</vt:lpstr>
      <vt:lpstr>puntuación Metodología INVIAS</vt:lpstr>
      <vt:lpstr>Priorización por sitio de empla</vt:lpstr>
      <vt:lpstr>'MASPS-MN-IN1-6-FR-2'!Área_de_impresión</vt:lpstr>
      <vt:lpstr>'MASPS-MN-IN1-6-FR-2'!Títulos_a_imprimir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Windows 81</cp:lastModifiedBy>
  <cp:revision/>
  <dcterms:created xsi:type="dcterms:W3CDTF">2020-10-01T19:18:56Z</dcterms:created>
  <dcterms:modified xsi:type="dcterms:W3CDTF">2022-01-22T23:37:34Z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0x010100E8C83AA471CFD54C89FF94069A2BE431</vt:lpwstr>
  </property>
</Properties>
</file>